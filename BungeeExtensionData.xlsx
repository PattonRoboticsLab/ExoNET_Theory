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c910a6ecb31fd35/ResearchProjects/cable/stacked/mfilesJim/"/>
    </mc:Choice>
  </mc:AlternateContent>
  <xr:revisionPtr revIDLastSave="89" documentId="8_{7CF54E11-8D18-4C09-B9E4-D812DB6D97F3}" xr6:coauthVersionLast="47" xr6:coauthVersionMax="47" xr10:uidLastSave="{571A3F2B-B60C-400E-949C-0FB7CDFD3FAC}"/>
  <bookViews>
    <workbookView minimized="1" xWindow="1433" yWindow="487" windowWidth="19724" windowHeight="13493" xr2:uid="{EDA156D6-CE39-494A-8551-A936ACBEFBB4}"/>
  </bookViews>
  <sheets>
    <sheet name="Orange Bungees" sheetId="2" r:id="rId1"/>
    <sheet name="Red Bungees" sheetId="1" r:id="rId2"/>
    <sheet name="Green Bungees" sheetId="3" r:id="rId3"/>
    <sheet name="Black Bungees" sheetId="4" r:id="rId4"/>
    <sheet name="Blue Bungees" sheetId="5" r:id="rId5"/>
    <sheet name="Tan Bungees" sheetId="6" r:id="rId6"/>
    <sheet name="Yellow Bungee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1" i="2" l="1"/>
  <c r="T6" i="2"/>
  <c r="T7" i="2"/>
  <c r="T8" i="2"/>
  <c r="T9" i="2"/>
  <c r="U9" i="2" s="1"/>
  <c r="T10" i="2"/>
  <c r="U10" i="2" s="1"/>
  <c r="T11" i="2"/>
  <c r="U11" i="2" s="1"/>
  <c r="T12" i="2"/>
  <c r="T13" i="2"/>
  <c r="U13" i="2" s="1"/>
  <c r="T14" i="2"/>
  <c r="U14" i="2" s="1"/>
  <c r="T15" i="2"/>
  <c r="U15" i="2" s="1"/>
  <c r="T16" i="2"/>
  <c r="U16" i="2" s="1"/>
  <c r="T17" i="2"/>
  <c r="U17" i="2" s="1"/>
  <c r="T18" i="2"/>
  <c r="T19" i="2"/>
  <c r="T20" i="2"/>
  <c r="T21" i="2"/>
  <c r="U21" i="2" s="1"/>
  <c r="T22" i="2"/>
  <c r="U22" i="2" s="1"/>
  <c r="T23" i="2"/>
  <c r="U23" i="2" s="1"/>
  <c r="T24" i="2"/>
  <c r="T25" i="2"/>
  <c r="U25" i="2" s="1"/>
  <c r="T26" i="2"/>
  <c r="U26" i="2" s="1"/>
  <c r="T27" i="2"/>
  <c r="U27" i="2" s="1"/>
  <c r="T28" i="2"/>
  <c r="U28" i="2" s="1"/>
  <c r="T29" i="2"/>
  <c r="U29" i="2" s="1"/>
  <c r="T30" i="2"/>
  <c r="T31" i="2"/>
  <c r="T32" i="2"/>
  <c r="T33" i="2"/>
  <c r="U33" i="2" s="1"/>
  <c r="T34" i="2"/>
  <c r="U34" i="2" s="1"/>
  <c r="T35" i="2"/>
  <c r="U35" i="2" s="1"/>
  <c r="T36" i="2"/>
  <c r="T37" i="2"/>
  <c r="U37" i="2" s="1"/>
  <c r="T38" i="2"/>
  <c r="U38" i="2" s="1"/>
  <c r="T39" i="2"/>
  <c r="U39" i="2" s="1"/>
  <c r="T40" i="2"/>
  <c r="U40" i="2" s="1"/>
  <c r="T41" i="2"/>
  <c r="U41" i="2" s="1"/>
  <c r="T42" i="2"/>
  <c r="T43" i="2"/>
  <c r="T44" i="2"/>
  <c r="T45" i="2"/>
  <c r="U45" i="2" s="1"/>
  <c r="T46" i="2"/>
  <c r="U46" i="2" s="1"/>
  <c r="T47" i="2"/>
  <c r="U47" i="2" s="1"/>
  <c r="T48" i="2"/>
  <c r="T49" i="2"/>
  <c r="U49" i="2" s="1"/>
  <c r="T50" i="2"/>
  <c r="U50" i="2" s="1"/>
  <c r="T51" i="2"/>
  <c r="U51" i="2" s="1"/>
  <c r="T52" i="2"/>
  <c r="U52" i="2" s="1"/>
  <c r="T53" i="2"/>
  <c r="U53" i="2" s="1"/>
  <c r="T54" i="2"/>
  <c r="T55" i="2"/>
  <c r="T56" i="2"/>
  <c r="T57" i="2"/>
  <c r="U57" i="2" s="1"/>
  <c r="T58" i="2"/>
  <c r="U58" i="2" s="1"/>
  <c r="T59" i="2"/>
  <c r="U59" i="2" s="1"/>
  <c r="T60" i="2"/>
  <c r="T61" i="2"/>
  <c r="U61" i="2" s="1"/>
  <c r="T62" i="2"/>
  <c r="U62" i="2" s="1"/>
  <c r="T63" i="2"/>
  <c r="U63" i="2" s="1"/>
  <c r="T64" i="2"/>
  <c r="U64" i="2" s="1"/>
  <c r="T65" i="2"/>
  <c r="U65" i="2" s="1"/>
  <c r="T66" i="2"/>
  <c r="T67" i="2"/>
  <c r="T68" i="2"/>
  <c r="T69" i="2"/>
  <c r="U69" i="2" s="1"/>
  <c r="T70" i="2"/>
  <c r="U70" i="2" s="1"/>
  <c r="T71" i="2"/>
  <c r="U71" i="2" s="1"/>
  <c r="T72" i="2"/>
  <c r="T73" i="2"/>
  <c r="U73" i="2" s="1"/>
  <c r="T74" i="2"/>
  <c r="U74" i="2" s="1"/>
  <c r="T75" i="2"/>
  <c r="U75" i="2" s="1"/>
  <c r="T76" i="2"/>
  <c r="U76" i="2" s="1"/>
  <c r="T77" i="2"/>
  <c r="U77" i="2" s="1"/>
  <c r="T78" i="2"/>
  <c r="T79" i="2"/>
  <c r="T80" i="2"/>
  <c r="T81" i="2"/>
  <c r="U81" i="2" s="1"/>
  <c r="T82" i="2"/>
  <c r="U82" i="2" s="1"/>
  <c r="T83" i="2"/>
  <c r="U83" i="2" s="1"/>
  <c r="T84" i="2"/>
  <c r="T85" i="2"/>
  <c r="U85" i="2" s="1"/>
  <c r="T86" i="2"/>
  <c r="U86" i="2" s="1"/>
  <c r="T87" i="2"/>
  <c r="U87" i="2" s="1"/>
  <c r="T88" i="2"/>
  <c r="U88" i="2" s="1"/>
  <c r="T89" i="2"/>
  <c r="U89" i="2" s="1"/>
  <c r="T90" i="2"/>
  <c r="T91" i="2"/>
  <c r="T92" i="2"/>
  <c r="T93" i="2"/>
  <c r="U93" i="2" s="1"/>
  <c r="T94" i="2"/>
  <c r="U94" i="2" s="1"/>
  <c r="T95" i="2"/>
  <c r="U95" i="2" s="1"/>
  <c r="T96" i="2"/>
  <c r="T97" i="2"/>
  <c r="U97" i="2" s="1"/>
  <c r="T98" i="2"/>
  <c r="U98" i="2" s="1"/>
  <c r="T99" i="2"/>
  <c r="U99" i="2" s="1"/>
  <c r="T100" i="2"/>
  <c r="U100" i="2" s="1"/>
  <c r="U6" i="2"/>
  <c r="U7" i="2"/>
  <c r="U8" i="2"/>
  <c r="U12" i="2"/>
  <c r="U18" i="2"/>
  <c r="U19" i="2"/>
  <c r="U20" i="2"/>
  <c r="U24" i="2"/>
  <c r="U30" i="2"/>
  <c r="U31" i="2"/>
  <c r="U32" i="2"/>
  <c r="U36" i="2"/>
  <c r="U42" i="2"/>
  <c r="U43" i="2"/>
  <c r="U44" i="2"/>
  <c r="U48" i="2"/>
  <c r="U54" i="2"/>
  <c r="U55" i="2"/>
  <c r="U56" i="2"/>
  <c r="U60" i="2"/>
  <c r="U66" i="2"/>
  <c r="U67" i="2"/>
  <c r="U68" i="2"/>
  <c r="U72" i="2"/>
  <c r="U78" i="2"/>
  <c r="U79" i="2"/>
  <c r="U80" i="2"/>
  <c r="U84" i="2"/>
  <c r="U90" i="2"/>
  <c r="U91" i="2"/>
  <c r="U92" i="2"/>
  <c r="U96" i="2"/>
  <c r="U101" i="2"/>
  <c r="N5" i="2"/>
  <c r="I5" i="2"/>
  <c r="U5" i="2"/>
  <c r="AE5" i="2"/>
  <c r="Z5" i="2"/>
  <c r="T5" i="2"/>
  <c r="C5" i="2" l="1"/>
  <c r="D5" i="2" s="1"/>
  <c r="AD5" i="2"/>
  <c r="Y5" i="2"/>
  <c r="S5" i="2"/>
  <c r="M5" i="2"/>
  <c r="H5" i="2"/>
  <c r="B5" i="2"/>
  <c r="AB52" i="1"/>
  <c r="AC52" i="1" s="1"/>
  <c r="AB51" i="1"/>
  <c r="AC51" i="1" s="1"/>
  <c r="AB50" i="1"/>
  <c r="AC50" i="1" s="1"/>
  <c r="AB49" i="1"/>
  <c r="AC49" i="1" s="1"/>
  <c r="AB48" i="1"/>
  <c r="AC48" i="1" s="1"/>
  <c r="AB47" i="1"/>
  <c r="AC47" i="1" s="1"/>
  <c r="AB46" i="1"/>
  <c r="AC46" i="1" s="1"/>
  <c r="AB45" i="1"/>
  <c r="AC45" i="1" s="1"/>
  <c r="AB44" i="1"/>
  <c r="AC44" i="1" s="1"/>
  <c r="AB43" i="1"/>
  <c r="AC43" i="1" s="1"/>
  <c r="AB42" i="1"/>
  <c r="AC42" i="1" s="1"/>
  <c r="AB41" i="1"/>
  <c r="AC41" i="1" s="1"/>
  <c r="AB40" i="1"/>
  <c r="AC40" i="1" s="1"/>
  <c r="AB39" i="1"/>
  <c r="AC39" i="1" s="1"/>
  <c r="AB38" i="1"/>
  <c r="AC38" i="1" s="1"/>
  <c r="AB37" i="1"/>
  <c r="AC37" i="1" s="1"/>
  <c r="AB36" i="1"/>
  <c r="AC36" i="1" s="1"/>
  <c r="AB35" i="1"/>
  <c r="AC35" i="1" s="1"/>
  <c r="AB34" i="1"/>
  <c r="AC34" i="1" s="1"/>
  <c r="AB33" i="1"/>
  <c r="AC33" i="1" s="1"/>
  <c r="AB32" i="1"/>
  <c r="AC32" i="1" s="1"/>
  <c r="AB31" i="1"/>
  <c r="AC31" i="1" s="1"/>
  <c r="AB30" i="1"/>
  <c r="AC30" i="1" s="1"/>
  <c r="AB29" i="1"/>
  <c r="AC29" i="1" s="1"/>
  <c r="AB28" i="1"/>
  <c r="AC28" i="1" s="1"/>
  <c r="AB27" i="1"/>
  <c r="AC27" i="1" s="1"/>
  <c r="AB26" i="1"/>
  <c r="AC26" i="1" s="1"/>
  <c r="AB25" i="1"/>
  <c r="AC25" i="1" s="1"/>
  <c r="AB24" i="1"/>
  <c r="AC24" i="1" s="1"/>
  <c r="AB23" i="1"/>
  <c r="AC23" i="1" s="1"/>
  <c r="AB22" i="1"/>
  <c r="AC22" i="1" s="1"/>
  <c r="AB21" i="1"/>
  <c r="AC21" i="1" s="1"/>
  <c r="AB20" i="1"/>
  <c r="AC20" i="1" s="1"/>
  <c r="AB19" i="1"/>
  <c r="AC19" i="1" s="1"/>
  <c r="AB18" i="1"/>
  <c r="AC18" i="1" s="1"/>
  <c r="AB17" i="1"/>
  <c r="AC17" i="1" s="1"/>
  <c r="AB16" i="1"/>
  <c r="AC16" i="1" s="1"/>
  <c r="AB15" i="1"/>
  <c r="AC15" i="1" s="1"/>
  <c r="AB14" i="1"/>
  <c r="AC14" i="1" s="1"/>
  <c r="AB13" i="1"/>
  <c r="AC13" i="1" s="1"/>
  <c r="AB12" i="1"/>
  <c r="AC12" i="1" s="1"/>
  <c r="AB11" i="1"/>
  <c r="AC11" i="1" s="1"/>
  <c r="AB10" i="1"/>
  <c r="AC10" i="1" s="1"/>
  <c r="AB9" i="1"/>
  <c r="AC9" i="1" s="1"/>
  <c r="AB8" i="1"/>
  <c r="AC8" i="1" s="1"/>
  <c r="AB7" i="1"/>
  <c r="AC7" i="1" s="1"/>
  <c r="AB6" i="1"/>
  <c r="AC6" i="1" s="1"/>
  <c r="AB5" i="1"/>
  <c r="AC5" i="1" s="1"/>
  <c r="AB4" i="1"/>
  <c r="AC4" i="1" s="1"/>
  <c r="W52" i="1"/>
  <c r="X52" i="1" s="1"/>
  <c r="W51" i="1"/>
  <c r="X51" i="1" s="1"/>
  <c r="X50" i="1"/>
  <c r="W50" i="1"/>
  <c r="W49" i="1"/>
  <c r="X49" i="1" s="1"/>
  <c r="W48" i="1"/>
  <c r="X48" i="1" s="1"/>
  <c r="W47" i="1"/>
  <c r="X47" i="1" s="1"/>
  <c r="X46" i="1"/>
  <c r="W46" i="1"/>
  <c r="W45" i="1"/>
  <c r="X45" i="1" s="1"/>
  <c r="W44" i="1"/>
  <c r="X44" i="1" s="1"/>
  <c r="W43" i="1"/>
  <c r="X43" i="1" s="1"/>
  <c r="X42" i="1"/>
  <c r="W42" i="1"/>
  <c r="W41" i="1"/>
  <c r="X41" i="1" s="1"/>
  <c r="W40" i="1"/>
  <c r="X40" i="1" s="1"/>
  <c r="W39" i="1"/>
  <c r="X39" i="1" s="1"/>
  <c r="X38" i="1"/>
  <c r="W38" i="1"/>
  <c r="W37" i="1"/>
  <c r="X37" i="1" s="1"/>
  <c r="W36" i="1"/>
  <c r="X36" i="1" s="1"/>
  <c r="W35" i="1"/>
  <c r="X35" i="1" s="1"/>
  <c r="X34" i="1"/>
  <c r="W34" i="1"/>
  <c r="W33" i="1"/>
  <c r="X33" i="1" s="1"/>
  <c r="W32" i="1"/>
  <c r="X32" i="1" s="1"/>
  <c r="W31" i="1"/>
  <c r="X31" i="1" s="1"/>
  <c r="X30" i="1"/>
  <c r="W30" i="1"/>
  <c r="W29" i="1"/>
  <c r="X29" i="1" s="1"/>
  <c r="W28" i="1"/>
  <c r="X28" i="1" s="1"/>
  <c r="W27" i="1"/>
  <c r="X27" i="1" s="1"/>
  <c r="X26" i="1"/>
  <c r="W26" i="1"/>
  <c r="W25" i="1"/>
  <c r="X25" i="1" s="1"/>
  <c r="W24" i="1"/>
  <c r="X24" i="1" s="1"/>
  <c r="W23" i="1"/>
  <c r="X23" i="1" s="1"/>
  <c r="X22" i="1"/>
  <c r="W22" i="1"/>
  <c r="W21" i="1"/>
  <c r="X21" i="1" s="1"/>
  <c r="W20" i="1"/>
  <c r="X20" i="1" s="1"/>
  <c r="W19" i="1"/>
  <c r="X19" i="1" s="1"/>
  <c r="X18" i="1"/>
  <c r="W18" i="1"/>
  <c r="W17" i="1"/>
  <c r="X17" i="1" s="1"/>
  <c r="W16" i="1"/>
  <c r="X16" i="1" s="1"/>
  <c r="W15" i="1"/>
  <c r="X15" i="1" s="1"/>
  <c r="X14" i="1"/>
  <c r="W14" i="1"/>
  <c r="W13" i="1"/>
  <c r="X13" i="1" s="1"/>
  <c r="W12" i="1"/>
  <c r="X12" i="1" s="1"/>
  <c r="W11" i="1"/>
  <c r="X11" i="1" s="1"/>
  <c r="X10" i="1"/>
  <c r="W10" i="1"/>
  <c r="W9" i="1"/>
  <c r="X9" i="1" s="1"/>
  <c r="W8" i="1"/>
  <c r="X8" i="1" s="1"/>
  <c r="W7" i="1"/>
  <c r="X7" i="1" s="1"/>
  <c r="X6" i="1"/>
  <c r="W6" i="1"/>
  <c r="W5" i="1"/>
  <c r="X5" i="1" s="1"/>
  <c r="W4" i="1"/>
  <c r="X4" i="1" s="1"/>
  <c r="R52" i="1"/>
  <c r="S52" i="1" s="1"/>
  <c r="R51" i="1"/>
  <c r="S51" i="1" s="1"/>
  <c r="R50" i="1"/>
  <c r="S50" i="1" s="1"/>
  <c r="R49" i="1"/>
  <c r="S49" i="1" s="1"/>
  <c r="R48" i="1"/>
  <c r="S48" i="1" s="1"/>
  <c r="R47" i="1"/>
  <c r="S47" i="1" s="1"/>
  <c r="R46" i="1"/>
  <c r="S46" i="1" s="1"/>
  <c r="R45" i="1"/>
  <c r="S45" i="1" s="1"/>
  <c r="R44" i="1"/>
  <c r="S44" i="1" s="1"/>
  <c r="R43" i="1"/>
  <c r="S43" i="1" s="1"/>
  <c r="R42" i="1"/>
  <c r="S42" i="1" s="1"/>
  <c r="R41" i="1"/>
  <c r="S41" i="1" s="1"/>
  <c r="R40" i="1"/>
  <c r="S40" i="1" s="1"/>
  <c r="R39" i="1"/>
  <c r="S39" i="1" s="1"/>
  <c r="R38" i="1"/>
  <c r="S38" i="1" s="1"/>
  <c r="R37" i="1"/>
  <c r="S37" i="1" s="1"/>
  <c r="R36" i="1"/>
  <c r="S36" i="1" s="1"/>
  <c r="R35" i="1"/>
  <c r="S35" i="1" s="1"/>
  <c r="R34" i="1"/>
  <c r="S34" i="1" s="1"/>
  <c r="R33" i="1"/>
  <c r="S33" i="1" s="1"/>
  <c r="R32" i="1"/>
  <c r="S32" i="1" s="1"/>
  <c r="R31" i="1"/>
  <c r="S31" i="1" s="1"/>
  <c r="R30" i="1"/>
  <c r="S30" i="1" s="1"/>
  <c r="R29" i="1"/>
  <c r="S29" i="1" s="1"/>
  <c r="R28" i="1"/>
  <c r="S28" i="1" s="1"/>
  <c r="R27" i="1"/>
  <c r="S27" i="1" s="1"/>
  <c r="R26" i="1"/>
  <c r="S26" i="1" s="1"/>
  <c r="R25" i="1"/>
  <c r="S25" i="1" s="1"/>
  <c r="R24" i="1"/>
  <c r="S24" i="1" s="1"/>
  <c r="R23" i="1"/>
  <c r="S23" i="1" s="1"/>
  <c r="R22" i="1"/>
  <c r="S22" i="1" s="1"/>
  <c r="R21" i="1"/>
  <c r="S21" i="1" s="1"/>
  <c r="R20" i="1"/>
  <c r="S20" i="1" s="1"/>
  <c r="R19" i="1"/>
  <c r="S19" i="1" s="1"/>
  <c r="R18" i="1"/>
  <c r="S18" i="1" s="1"/>
  <c r="R17" i="1"/>
  <c r="S17" i="1" s="1"/>
  <c r="R16" i="1"/>
  <c r="S16" i="1" s="1"/>
  <c r="R15" i="1"/>
  <c r="S15" i="1" s="1"/>
  <c r="R14" i="1"/>
  <c r="S14" i="1" s="1"/>
  <c r="R13" i="1"/>
  <c r="S13" i="1" s="1"/>
  <c r="R12" i="1"/>
  <c r="S12" i="1" s="1"/>
  <c r="R11" i="1"/>
  <c r="S11" i="1" s="1"/>
  <c r="R10" i="1"/>
  <c r="S10" i="1" s="1"/>
  <c r="R9" i="1"/>
  <c r="S9" i="1" s="1"/>
  <c r="R8" i="1"/>
  <c r="S8" i="1" s="1"/>
  <c r="R7" i="1"/>
  <c r="S7" i="1" s="1"/>
  <c r="R6" i="1"/>
  <c r="S6" i="1" s="1"/>
  <c r="R5" i="1"/>
  <c r="S5" i="1" s="1"/>
  <c r="R4" i="1"/>
  <c r="S4" i="1" s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L46" i="1"/>
  <c r="M46" i="1" s="1"/>
  <c r="L45" i="1"/>
  <c r="M45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L5" i="1"/>
  <c r="M5" i="1" s="1"/>
  <c r="L4" i="1"/>
  <c r="M4" i="1" s="1"/>
  <c r="G52" i="1"/>
  <c r="H52" i="1" s="1"/>
  <c r="G51" i="1"/>
  <c r="H51" i="1" s="1"/>
  <c r="G50" i="1"/>
  <c r="H50" i="1" s="1"/>
  <c r="H49" i="1"/>
  <c r="G49" i="1"/>
  <c r="G48" i="1"/>
  <c r="H48" i="1" s="1"/>
  <c r="G47" i="1"/>
  <c r="H47" i="1" s="1"/>
  <c r="G46" i="1"/>
  <c r="H46" i="1" s="1"/>
  <c r="H45" i="1"/>
  <c r="G45" i="1"/>
  <c r="G44" i="1"/>
  <c r="H44" i="1" s="1"/>
  <c r="G43" i="1"/>
  <c r="H43" i="1" s="1"/>
  <c r="G42" i="1"/>
  <c r="H42" i="1" s="1"/>
  <c r="H41" i="1"/>
  <c r="G41" i="1"/>
  <c r="G40" i="1"/>
  <c r="H40" i="1" s="1"/>
  <c r="G39" i="1"/>
  <c r="H39" i="1" s="1"/>
  <c r="G38" i="1"/>
  <c r="H38" i="1" s="1"/>
  <c r="H37" i="1"/>
  <c r="G37" i="1"/>
  <c r="G36" i="1"/>
  <c r="H36" i="1" s="1"/>
  <c r="G35" i="1"/>
  <c r="H35" i="1" s="1"/>
  <c r="G34" i="1"/>
  <c r="H34" i="1" s="1"/>
  <c r="H33" i="1"/>
  <c r="G33" i="1"/>
  <c r="G32" i="1"/>
  <c r="H32" i="1" s="1"/>
  <c r="G31" i="1"/>
  <c r="H31" i="1" s="1"/>
  <c r="G30" i="1"/>
  <c r="H30" i="1" s="1"/>
  <c r="H29" i="1"/>
  <c r="G29" i="1"/>
  <c r="G28" i="1"/>
  <c r="H28" i="1" s="1"/>
  <c r="G27" i="1"/>
  <c r="H27" i="1" s="1"/>
  <c r="G26" i="1"/>
  <c r="H26" i="1" s="1"/>
  <c r="H25" i="1"/>
  <c r="G25" i="1"/>
  <c r="G24" i="1"/>
  <c r="H24" i="1" s="1"/>
  <c r="G23" i="1"/>
  <c r="H23" i="1" s="1"/>
  <c r="G22" i="1"/>
  <c r="H22" i="1" s="1"/>
  <c r="H21" i="1"/>
  <c r="G21" i="1"/>
  <c r="G20" i="1"/>
  <c r="H20" i="1" s="1"/>
  <c r="G19" i="1"/>
  <c r="H19" i="1" s="1"/>
  <c r="G18" i="1"/>
  <c r="H18" i="1" s="1"/>
  <c r="H17" i="1"/>
  <c r="G17" i="1"/>
  <c r="G16" i="1"/>
  <c r="H16" i="1" s="1"/>
  <c r="G15" i="1"/>
  <c r="H15" i="1" s="1"/>
  <c r="G14" i="1"/>
  <c r="H14" i="1" s="1"/>
  <c r="H13" i="1"/>
  <c r="G13" i="1"/>
  <c r="G12" i="1"/>
  <c r="H12" i="1" s="1"/>
  <c r="G11" i="1"/>
  <c r="H11" i="1" s="1"/>
  <c r="G10" i="1"/>
  <c r="H10" i="1" s="1"/>
  <c r="H9" i="1"/>
  <c r="G9" i="1"/>
  <c r="G8" i="1"/>
  <c r="H8" i="1" s="1"/>
  <c r="G7" i="1"/>
  <c r="H7" i="1" s="1"/>
  <c r="G6" i="1"/>
  <c r="H6" i="1" s="1"/>
  <c r="H5" i="1"/>
  <c r="G5" i="1"/>
  <c r="G4" i="1"/>
  <c r="H4" i="1" s="1"/>
  <c r="B52" i="1"/>
  <c r="C52" i="1" s="1"/>
  <c r="B51" i="1"/>
  <c r="C51" i="1" s="1"/>
  <c r="C50" i="1"/>
  <c r="B50" i="1"/>
  <c r="B49" i="1"/>
  <c r="C49" i="1" s="1"/>
  <c r="B48" i="1"/>
  <c r="C48" i="1" s="1"/>
  <c r="B47" i="1"/>
  <c r="C47" i="1" s="1"/>
  <c r="B46" i="1"/>
  <c r="C46" i="1" s="1"/>
  <c r="B45" i="1"/>
  <c r="C45" i="1" s="1"/>
  <c r="B44" i="1"/>
  <c r="C44" i="1" s="1"/>
  <c r="B43" i="1"/>
  <c r="C43" i="1" s="1"/>
  <c r="B42" i="1"/>
  <c r="C42" i="1" s="1"/>
  <c r="B41" i="1"/>
  <c r="C41" i="1" s="1"/>
  <c r="B40" i="1"/>
  <c r="C40" i="1" s="1"/>
  <c r="B39" i="1"/>
  <c r="C39" i="1" s="1"/>
  <c r="B38" i="1"/>
  <c r="C38" i="1" s="1"/>
  <c r="B37" i="1"/>
  <c r="C37" i="1" s="1"/>
  <c r="B36" i="1"/>
  <c r="C36" i="1" s="1"/>
  <c r="B35" i="1"/>
  <c r="C35" i="1" s="1"/>
  <c r="B34" i="1"/>
  <c r="C34" i="1" s="1"/>
  <c r="B33" i="1"/>
  <c r="C33" i="1" s="1"/>
  <c r="B32" i="1"/>
  <c r="C32" i="1" s="1"/>
  <c r="B31" i="1"/>
  <c r="C31" i="1" s="1"/>
  <c r="B30" i="1"/>
  <c r="C30" i="1" s="1"/>
  <c r="B29" i="1"/>
  <c r="C29" i="1" s="1"/>
  <c r="B28" i="1"/>
  <c r="C28" i="1" s="1"/>
  <c r="B27" i="1"/>
  <c r="C27" i="1" s="1"/>
  <c r="B26" i="1"/>
  <c r="C26" i="1" s="1"/>
  <c r="B25" i="1"/>
  <c r="C25" i="1" s="1"/>
  <c r="B24" i="1"/>
  <c r="C24" i="1" s="1"/>
  <c r="B23" i="1"/>
  <c r="C23" i="1" s="1"/>
  <c r="B22" i="1"/>
  <c r="C22" i="1" s="1"/>
  <c r="B21" i="1"/>
  <c r="C21" i="1" s="1"/>
  <c r="B20" i="1"/>
  <c r="C20" i="1" s="1"/>
  <c r="B19" i="1"/>
  <c r="C19" i="1" s="1"/>
  <c r="B18" i="1"/>
  <c r="C18" i="1" s="1"/>
  <c r="B17" i="1"/>
  <c r="C17" i="1" s="1"/>
  <c r="B16" i="1"/>
  <c r="C16" i="1" s="1"/>
  <c r="B15" i="1"/>
  <c r="C15" i="1" s="1"/>
  <c r="B14" i="1"/>
  <c r="C14" i="1" s="1"/>
  <c r="B13" i="1"/>
  <c r="C13" i="1" s="1"/>
  <c r="B12" i="1"/>
  <c r="C12" i="1" s="1"/>
  <c r="B11" i="1"/>
  <c r="C11" i="1" s="1"/>
  <c r="B10" i="1"/>
  <c r="C10" i="1" s="1"/>
  <c r="B9" i="1"/>
  <c r="C9" i="1" s="1"/>
  <c r="B8" i="1"/>
  <c r="C8" i="1" s="1"/>
  <c r="B7" i="1"/>
  <c r="C7" i="1" s="1"/>
  <c r="B6" i="1"/>
  <c r="C6" i="1" s="1"/>
  <c r="B5" i="1"/>
  <c r="C5" i="1" s="1"/>
  <c r="B4" i="1"/>
  <c r="C4" i="1" s="1"/>
  <c r="B52" i="3"/>
  <c r="C52" i="3" s="1"/>
  <c r="B51" i="3"/>
  <c r="C51" i="3" s="1"/>
  <c r="B50" i="3"/>
  <c r="C50" i="3" s="1"/>
  <c r="C49" i="3"/>
  <c r="B49" i="3"/>
  <c r="B48" i="3"/>
  <c r="C48" i="3" s="1"/>
  <c r="B47" i="3"/>
  <c r="C47" i="3" s="1"/>
  <c r="B46" i="3"/>
  <c r="C46" i="3" s="1"/>
  <c r="C45" i="3"/>
  <c r="B45" i="3"/>
  <c r="B44" i="3"/>
  <c r="C44" i="3" s="1"/>
  <c r="B43" i="3"/>
  <c r="C43" i="3" s="1"/>
  <c r="B42" i="3"/>
  <c r="C42" i="3" s="1"/>
  <c r="C41" i="3"/>
  <c r="B41" i="3"/>
  <c r="B40" i="3"/>
  <c r="C40" i="3" s="1"/>
  <c r="B39" i="3"/>
  <c r="C39" i="3" s="1"/>
  <c r="B38" i="3"/>
  <c r="C38" i="3" s="1"/>
  <c r="C37" i="3"/>
  <c r="B37" i="3"/>
  <c r="B36" i="3"/>
  <c r="C36" i="3" s="1"/>
  <c r="B35" i="3"/>
  <c r="C35" i="3" s="1"/>
  <c r="B34" i="3"/>
  <c r="C34" i="3" s="1"/>
  <c r="C33" i="3"/>
  <c r="B33" i="3"/>
  <c r="B32" i="3"/>
  <c r="C32" i="3" s="1"/>
  <c r="B31" i="3"/>
  <c r="C31" i="3" s="1"/>
  <c r="B30" i="3"/>
  <c r="C30" i="3" s="1"/>
  <c r="C29" i="3"/>
  <c r="B29" i="3"/>
  <c r="B28" i="3"/>
  <c r="C28" i="3" s="1"/>
  <c r="B27" i="3"/>
  <c r="C27" i="3" s="1"/>
  <c r="B26" i="3"/>
  <c r="C26" i="3" s="1"/>
  <c r="C25" i="3"/>
  <c r="B25" i="3"/>
  <c r="B24" i="3"/>
  <c r="C24" i="3" s="1"/>
  <c r="B23" i="3"/>
  <c r="C23" i="3" s="1"/>
  <c r="B22" i="3"/>
  <c r="C22" i="3" s="1"/>
  <c r="C21" i="3"/>
  <c r="B21" i="3"/>
  <c r="B20" i="3"/>
  <c r="C20" i="3" s="1"/>
  <c r="B19" i="3"/>
  <c r="C19" i="3" s="1"/>
  <c r="B18" i="3"/>
  <c r="C18" i="3" s="1"/>
  <c r="C17" i="3"/>
  <c r="B17" i="3"/>
  <c r="B16" i="3"/>
  <c r="C16" i="3" s="1"/>
  <c r="B15" i="3"/>
  <c r="C15" i="3" s="1"/>
  <c r="B14" i="3"/>
  <c r="C14" i="3" s="1"/>
  <c r="C13" i="3"/>
  <c r="B13" i="3"/>
  <c r="B12" i="3"/>
  <c r="C12" i="3" s="1"/>
  <c r="B11" i="3"/>
  <c r="C11" i="3" s="1"/>
  <c r="B10" i="3"/>
  <c r="C10" i="3" s="1"/>
  <c r="C9" i="3"/>
  <c r="B9" i="3"/>
  <c r="B8" i="3"/>
  <c r="C8" i="3" s="1"/>
  <c r="B7" i="3"/>
  <c r="C7" i="3" s="1"/>
  <c r="B6" i="3"/>
  <c r="C6" i="3" s="1"/>
  <c r="C5" i="3"/>
  <c r="B5" i="3"/>
  <c r="B4" i="3"/>
  <c r="C4" i="3" s="1"/>
  <c r="G52" i="3"/>
  <c r="H52" i="3" s="1"/>
  <c r="G51" i="3"/>
  <c r="H51" i="3" s="1"/>
  <c r="H50" i="3"/>
  <c r="G50" i="3"/>
  <c r="H49" i="3"/>
  <c r="G49" i="3"/>
  <c r="G48" i="3"/>
  <c r="H48" i="3" s="1"/>
  <c r="G47" i="3"/>
  <c r="H47" i="3" s="1"/>
  <c r="H46" i="3"/>
  <c r="G46" i="3"/>
  <c r="H45" i="3"/>
  <c r="G45" i="3"/>
  <c r="G44" i="3"/>
  <c r="H44" i="3" s="1"/>
  <c r="G43" i="3"/>
  <c r="H43" i="3" s="1"/>
  <c r="H42" i="3"/>
  <c r="G42" i="3"/>
  <c r="H41" i="3"/>
  <c r="G41" i="3"/>
  <c r="G40" i="3"/>
  <c r="H40" i="3" s="1"/>
  <c r="G39" i="3"/>
  <c r="H39" i="3" s="1"/>
  <c r="H38" i="3"/>
  <c r="G38" i="3"/>
  <c r="H37" i="3"/>
  <c r="G37" i="3"/>
  <c r="G36" i="3"/>
  <c r="H36" i="3" s="1"/>
  <c r="G35" i="3"/>
  <c r="H35" i="3" s="1"/>
  <c r="H34" i="3"/>
  <c r="G34" i="3"/>
  <c r="H33" i="3"/>
  <c r="G33" i="3"/>
  <c r="G32" i="3"/>
  <c r="H32" i="3" s="1"/>
  <c r="G31" i="3"/>
  <c r="H31" i="3" s="1"/>
  <c r="H30" i="3"/>
  <c r="G30" i="3"/>
  <c r="H29" i="3"/>
  <c r="G29" i="3"/>
  <c r="G28" i="3"/>
  <c r="H28" i="3" s="1"/>
  <c r="G27" i="3"/>
  <c r="H27" i="3" s="1"/>
  <c r="H26" i="3"/>
  <c r="G26" i="3"/>
  <c r="H25" i="3"/>
  <c r="G25" i="3"/>
  <c r="G24" i="3"/>
  <c r="H24" i="3" s="1"/>
  <c r="G23" i="3"/>
  <c r="H23" i="3" s="1"/>
  <c r="H22" i="3"/>
  <c r="G22" i="3"/>
  <c r="H21" i="3"/>
  <c r="G21" i="3"/>
  <c r="G20" i="3"/>
  <c r="H20" i="3" s="1"/>
  <c r="G19" i="3"/>
  <c r="H19" i="3" s="1"/>
  <c r="H18" i="3"/>
  <c r="G18" i="3"/>
  <c r="H17" i="3"/>
  <c r="G17" i="3"/>
  <c r="G16" i="3"/>
  <c r="H16" i="3" s="1"/>
  <c r="G15" i="3"/>
  <c r="H15" i="3" s="1"/>
  <c r="H14" i="3"/>
  <c r="G14" i="3"/>
  <c r="H13" i="3"/>
  <c r="G13" i="3"/>
  <c r="G12" i="3"/>
  <c r="H12" i="3" s="1"/>
  <c r="G11" i="3"/>
  <c r="H11" i="3" s="1"/>
  <c r="H10" i="3"/>
  <c r="G10" i="3"/>
  <c r="H9" i="3"/>
  <c r="G9" i="3"/>
  <c r="G8" i="3"/>
  <c r="H8" i="3" s="1"/>
  <c r="G7" i="3"/>
  <c r="H7" i="3" s="1"/>
  <c r="H6" i="3"/>
  <c r="G6" i="3"/>
  <c r="H5" i="3"/>
  <c r="G5" i="3"/>
  <c r="G4" i="3"/>
  <c r="H4" i="3" s="1"/>
  <c r="L52" i="3"/>
  <c r="M52" i="3" s="1"/>
  <c r="L51" i="3"/>
  <c r="M51" i="3" s="1"/>
  <c r="L50" i="3"/>
  <c r="M50" i="3" s="1"/>
  <c r="M49" i="3"/>
  <c r="L49" i="3"/>
  <c r="L48" i="3"/>
  <c r="M48" i="3" s="1"/>
  <c r="L47" i="3"/>
  <c r="M47" i="3" s="1"/>
  <c r="L46" i="3"/>
  <c r="M46" i="3" s="1"/>
  <c r="M45" i="3"/>
  <c r="L45" i="3"/>
  <c r="L44" i="3"/>
  <c r="M44" i="3" s="1"/>
  <c r="L43" i="3"/>
  <c r="M43" i="3" s="1"/>
  <c r="L42" i="3"/>
  <c r="M42" i="3" s="1"/>
  <c r="M41" i="3"/>
  <c r="L41" i="3"/>
  <c r="L40" i="3"/>
  <c r="M40" i="3" s="1"/>
  <c r="L39" i="3"/>
  <c r="M39" i="3" s="1"/>
  <c r="L38" i="3"/>
  <c r="M38" i="3" s="1"/>
  <c r="M37" i="3"/>
  <c r="L37" i="3"/>
  <c r="L36" i="3"/>
  <c r="M36" i="3" s="1"/>
  <c r="L35" i="3"/>
  <c r="M35" i="3" s="1"/>
  <c r="L34" i="3"/>
  <c r="M34" i="3" s="1"/>
  <c r="M33" i="3"/>
  <c r="L33" i="3"/>
  <c r="L32" i="3"/>
  <c r="M32" i="3" s="1"/>
  <c r="L31" i="3"/>
  <c r="M31" i="3" s="1"/>
  <c r="L30" i="3"/>
  <c r="M30" i="3" s="1"/>
  <c r="M29" i="3"/>
  <c r="L29" i="3"/>
  <c r="L28" i="3"/>
  <c r="M28" i="3" s="1"/>
  <c r="L27" i="3"/>
  <c r="M27" i="3" s="1"/>
  <c r="L26" i="3"/>
  <c r="M26" i="3" s="1"/>
  <c r="M25" i="3"/>
  <c r="L25" i="3"/>
  <c r="L24" i="3"/>
  <c r="M24" i="3" s="1"/>
  <c r="L23" i="3"/>
  <c r="M23" i="3" s="1"/>
  <c r="L22" i="3"/>
  <c r="M22" i="3" s="1"/>
  <c r="M21" i="3"/>
  <c r="L21" i="3"/>
  <c r="L20" i="3"/>
  <c r="M20" i="3" s="1"/>
  <c r="L19" i="3"/>
  <c r="M19" i="3" s="1"/>
  <c r="L18" i="3"/>
  <c r="M18" i="3" s="1"/>
  <c r="M17" i="3"/>
  <c r="L17" i="3"/>
  <c r="L16" i="3"/>
  <c r="M16" i="3" s="1"/>
  <c r="L15" i="3"/>
  <c r="M15" i="3" s="1"/>
  <c r="L14" i="3"/>
  <c r="M14" i="3" s="1"/>
  <c r="M13" i="3"/>
  <c r="L13" i="3"/>
  <c r="L12" i="3"/>
  <c r="M12" i="3" s="1"/>
  <c r="L11" i="3"/>
  <c r="M11" i="3" s="1"/>
  <c r="L10" i="3"/>
  <c r="M10" i="3" s="1"/>
  <c r="M9" i="3"/>
  <c r="L9" i="3"/>
  <c r="L8" i="3"/>
  <c r="M8" i="3" s="1"/>
  <c r="L7" i="3"/>
  <c r="M7" i="3" s="1"/>
  <c r="L6" i="3"/>
  <c r="M6" i="3" s="1"/>
  <c r="M5" i="3"/>
  <c r="L5" i="3"/>
  <c r="L4" i="3"/>
  <c r="M4" i="3" s="1"/>
  <c r="R52" i="3"/>
  <c r="S52" i="3" s="1"/>
  <c r="R51" i="3"/>
  <c r="S51" i="3" s="1"/>
  <c r="R50" i="3"/>
  <c r="S50" i="3" s="1"/>
  <c r="R49" i="3"/>
  <c r="S49" i="3" s="1"/>
  <c r="R48" i="3"/>
  <c r="S48" i="3" s="1"/>
  <c r="R47" i="3"/>
  <c r="S47" i="3" s="1"/>
  <c r="R46" i="3"/>
  <c r="S46" i="3" s="1"/>
  <c r="R45" i="3"/>
  <c r="S45" i="3" s="1"/>
  <c r="R44" i="3"/>
  <c r="S44" i="3" s="1"/>
  <c r="R43" i="3"/>
  <c r="S43" i="3" s="1"/>
  <c r="R42" i="3"/>
  <c r="S42" i="3" s="1"/>
  <c r="R41" i="3"/>
  <c r="S41" i="3" s="1"/>
  <c r="R40" i="3"/>
  <c r="S40" i="3" s="1"/>
  <c r="R39" i="3"/>
  <c r="S39" i="3" s="1"/>
  <c r="R38" i="3"/>
  <c r="S38" i="3" s="1"/>
  <c r="R37" i="3"/>
  <c r="S37" i="3" s="1"/>
  <c r="R36" i="3"/>
  <c r="S36" i="3" s="1"/>
  <c r="R35" i="3"/>
  <c r="S35" i="3" s="1"/>
  <c r="R34" i="3"/>
  <c r="S34" i="3" s="1"/>
  <c r="R33" i="3"/>
  <c r="S33" i="3" s="1"/>
  <c r="R32" i="3"/>
  <c r="S32" i="3" s="1"/>
  <c r="R31" i="3"/>
  <c r="S31" i="3" s="1"/>
  <c r="R30" i="3"/>
  <c r="S30" i="3" s="1"/>
  <c r="R29" i="3"/>
  <c r="S29" i="3" s="1"/>
  <c r="R28" i="3"/>
  <c r="S28" i="3" s="1"/>
  <c r="R27" i="3"/>
  <c r="S27" i="3" s="1"/>
  <c r="R26" i="3"/>
  <c r="S26" i="3" s="1"/>
  <c r="R25" i="3"/>
  <c r="S25" i="3" s="1"/>
  <c r="R24" i="3"/>
  <c r="S24" i="3" s="1"/>
  <c r="R23" i="3"/>
  <c r="S23" i="3" s="1"/>
  <c r="R22" i="3"/>
  <c r="S22" i="3" s="1"/>
  <c r="R21" i="3"/>
  <c r="S21" i="3" s="1"/>
  <c r="R20" i="3"/>
  <c r="S20" i="3" s="1"/>
  <c r="R19" i="3"/>
  <c r="S19" i="3" s="1"/>
  <c r="R18" i="3"/>
  <c r="S18" i="3" s="1"/>
  <c r="R17" i="3"/>
  <c r="S17" i="3" s="1"/>
  <c r="R16" i="3"/>
  <c r="S16" i="3" s="1"/>
  <c r="R15" i="3"/>
  <c r="S15" i="3" s="1"/>
  <c r="R14" i="3"/>
  <c r="S14" i="3" s="1"/>
  <c r="R13" i="3"/>
  <c r="S13" i="3" s="1"/>
  <c r="R12" i="3"/>
  <c r="S12" i="3" s="1"/>
  <c r="R11" i="3"/>
  <c r="S11" i="3" s="1"/>
  <c r="R10" i="3"/>
  <c r="S10" i="3" s="1"/>
  <c r="R9" i="3"/>
  <c r="S9" i="3" s="1"/>
  <c r="R8" i="3"/>
  <c r="S8" i="3" s="1"/>
  <c r="R7" i="3"/>
  <c r="S7" i="3" s="1"/>
  <c r="R6" i="3"/>
  <c r="S6" i="3" s="1"/>
  <c r="R5" i="3"/>
  <c r="S5" i="3" s="1"/>
  <c r="R4" i="3"/>
  <c r="S4" i="3" s="1"/>
  <c r="W52" i="3"/>
  <c r="X52" i="3" s="1"/>
  <c r="W51" i="3"/>
  <c r="X51" i="3" s="1"/>
  <c r="W50" i="3"/>
  <c r="X50" i="3" s="1"/>
  <c r="W49" i="3"/>
  <c r="X49" i="3" s="1"/>
  <c r="W48" i="3"/>
  <c r="X48" i="3" s="1"/>
  <c r="W47" i="3"/>
  <c r="X47" i="3" s="1"/>
  <c r="W46" i="3"/>
  <c r="X46" i="3" s="1"/>
  <c r="W45" i="3"/>
  <c r="X45" i="3" s="1"/>
  <c r="W44" i="3"/>
  <c r="X44" i="3" s="1"/>
  <c r="W43" i="3"/>
  <c r="X43" i="3" s="1"/>
  <c r="W42" i="3"/>
  <c r="X42" i="3" s="1"/>
  <c r="W41" i="3"/>
  <c r="X41" i="3" s="1"/>
  <c r="W40" i="3"/>
  <c r="X40" i="3" s="1"/>
  <c r="W39" i="3"/>
  <c r="X39" i="3" s="1"/>
  <c r="W38" i="3"/>
  <c r="X38" i="3" s="1"/>
  <c r="W37" i="3"/>
  <c r="X37" i="3" s="1"/>
  <c r="W36" i="3"/>
  <c r="X36" i="3" s="1"/>
  <c r="W35" i="3"/>
  <c r="X35" i="3" s="1"/>
  <c r="W34" i="3"/>
  <c r="X34" i="3" s="1"/>
  <c r="W33" i="3"/>
  <c r="X33" i="3" s="1"/>
  <c r="W32" i="3"/>
  <c r="X32" i="3" s="1"/>
  <c r="W31" i="3"/>
  <c r="X31" i="3" s="1"/>
  <c r="W30" i="3"/>
  <c r="X30" i="3" s="1"/>
  <c r="W29" i="3"/>
  <c r="X29" i="3" s="1"/>
  <c r="W28" i="3"/>
  <c r="X28" i="3" s="1"/>
  <c r="W27" i="3"/>
  <c r="X27" i="3" s="1"/>
  <c r="W26" i="3"/>
  <c r="X26" i="3" s="1"/>
  <c r="W25" i="3"/>
  <c r="X25" i="3" s="1"/>
  <c r="W24" i="3"/>
  <c r="X24" i="3" s="1"/>
  <c r="W23" i="3"/>
  <c r="X23" i="3" s="1"/>
  <c r="W22" i="3"/>
  <c r="X22" i="3" s="1"/>
  <c r="W21" i="3"/>
  <c r="X21" i="3" s="1"/>
  <c r="W20" i="3"/>
  <c r="X20" i="3" s="1"/>
  <c r="W19" i="3"/>
  <c r="X19" i="3" s="1"/>
  <c r="W18" i="3"/>
  <c r="X18" i="3" s="1"/>
  <c r="W17" i="3"/>
  <c r="X17" i="3" s="1"/>
  <c r="W16" i="3"/>
  <c r="X16" i="3" s="1"/>
  <c r="W15" i="3"/>
  <c r="X15" i="3" s="1"/>
  <c r="W14" i="3"/>
  <c r="X14" i="3" s="1"/>
  <c r="W13" i="3"/>
  <c r="X13" i="3" s="1"/>
  <c r="W12" i="3"/>
  <c r="X12" i="3" s="1"/>
  <c r="W11" i="3"/>
  <c r="X11" i="3" s="1"/>
  <c r="W10" i="3"/>
  <c r="X10" i="3" s="1"/>
  <c r="W9" i="3"/>
  <c r="X9" i="3" s="1"/>
  <c r="W8" i="3"/>
  <c r="X8" i="3" s="1"/>
  <c r="W7" i="3"/>
  <c r="X7" i="3" s="1"/>
  <c r="W6" i="3"/>
  <c r="X6" i="3" s="1"/>
  <c r="W5" i="3"/>
  <c r="X5" i="3" s="1"/>
  <c r="W4" i="3"/>
  <c r="X4" i="3" s="1"/>
  <c r="AB52" i="3"/>
  <c r="AC52" i="3" s="1"/>
  <c r="AB51" i="3"/>
  <c r="AC51" i="3" s="1"/>
  <c r="AB50" i="3"/>
  <c r="AC50" i="3" s="1"/>
  <c r="AB49" i="3"/>
  <c r="AC49" i="3" s="1"/>
  <c r="AB48" i="3"/>
  <c r="AC48" i="3" s="1"/>
  <c r="AB47" i="3"/>
  <c r="AC47" i="3" s="1"/>
  <c r="AB46" i="3"/>
  <c r="AC46" i="3" s="1"/>
  <c r="AB45" i="3"/>
  <c r="AC45" i="3" s="1"/>
  <c r="AB44" i="3"/>
  <c r="AC44" i="3" s="1"/>
  <c r="AB43" i="3"/>
  <c r="AC43" i="3" s="1"/>
  <c r="AB42" i="3"/>
  <c r="AC42" i="3" s="1"/>
  <c r="AB41" i="3"/>
  <c r="AC41" i="3" s="1"/>
  <c r="AB40" i="3"/>
  <c r="AC40" i="3" s="1"/>
  <c r="AB39" i="3"/>
  <c r="AC39" i="3" s="1"/>
  <c r="AB38" i="3"/>
  <c r="AC38" i="3" s="1"/>
  <c r="AB37" i="3"/>
  <c r="AC37" i="3" s="1"/>
  <c r="AB36" i="3"/>
  <c r="AC36" i="3" s="1"/>
  <c r="AB35" i="3"/>
  <c r="AC35" i="3" s="1"/>
  <c r="AB34" i="3"/>
  <c r="AC34" i="3" s="1"/>
  <c r="AB33" i="3"/>
  <c r="AC33" i="3" s="1"/>
  <c r="AB32" i="3"/>
  <c r="AC32" i="3" s="1"/>
  <c r="AB31" i="3"/>
  <c r="AC31" i="3" s="1"/>
  <c r="AB30" i="3"/>
  <c r="AC30" i="3" s="1"/>
  <c r="AB29" i="3"/>
  <c r="AC29" i="3" s="1"/>
  <c r="AB28" i="3"/>
  <c r="AC28" i="3" s="1"/>
  <c r="AB27" i="3"/>
  <c r="AC27" i="3" s="1"/>
  <c r="AB26" i="3"/>
  <c r="AC26" i="3" s="1"/>
  <c r="AB25" i="3"/>
  <c r="AC25" i="3" s="1"/>
  <c r="AB24" i="3"/>
  <c r="AC24" i="3" s="1"/>
  <c r="AB23" i="3"/>
  <c r="AC23" i="3" s="1"/>
  <c r="AB22" i="3"/>
  <c r="AC22" i="3" s="1"/>
  <c r="AB21" i="3"/>
  <c r="AC21" i="3" s="1"/>
  <c r="AB20" i="3"/>
  <c r="AC20" i="3" s="1"/>
  <c r="AB19" i="3"/>
  <c r="AC19" i="3" s="1"/>
  <c r="AB18" i="3"/>
  <c r="AC18" i="3" s="1"/>
  <c r="AB17" i="3"/>
  <c r="AC17" i="3" s="1"/>
  <c r="AB16" i="3"/>
  <c r="AC16" i="3" s="1"/>
  <c r="AB15" i="3"/>
  <c r="AC15" i="3" s="1"/>
  <c r="AB14" i="3"/>
  <c r="AC14" i="3" s="1"/>
  <c r="AB13" i="3"/>
  <c r="AC13" i="3" s="1"/>
  <c r="AB12" i="3"/>
  <c r="AC12" i="3" s="1"/>
  <c r="AB11" i="3"/>
  <c r="AC11" i="3" s="1"/>
  <c r="AB10" i="3"/>
  <c r="AC10" i="3" s="1"/>
  <c r="AB9" i="3"/>
  <c r="AC9" i="3" s="1"/>
  <c r="AB8" i="3"/>
  <c r="AC8" i="3" s="1"/>
  <c r="AB7" i="3"/>
  <c r="AC7" i="3" s="1"/>
  <c r="AB6" i="3"/>
  <c r="AC6" i="3" s="1"/>
  <c r="AB5" i="3"/>
  <c r="AC5" i="3" s="1"/>
  <c r="AB4" i="3"/>
  <c r="AC4" i="3" s="1"/>
  <c r="B52" i="4"/>
  <c r="C52" i="4" s="1"/>
  <c r="B51" i="4"/>
  <c r="C51" i="4" s="1"/>
  <c r="C50" i="4"/>
  <c r="B50" i="4"/>
  <c r="C49" i="4"/>
  <c r="B49" i="4"/>
  <c r="B48" i="4"/>
  <c r="C48" i="4" s="1"/>
  <c r="B47" i="4"/>
  <c r="C47" i="4" s="1"/>
  <c r="C46" i="4"/>
  <c r="B46" i="4"/>
  <c r="C45" i="4"/>
  <c r="B45" i="4"/>
  <c r="B44" i="4"/>
  <c r="C44" i="4" s="1"/>
  <c r="B43" i="4"/>
  <c r="C43" i="4" s="1"/>
  <c r="C42" i="4"/>
  <c r="B42" i="4"/>
  <c r="C41" i="4"/>
  <c r="B41" i="4"/>
  <c r="B40" i="4"/>
  <c r="C40" i="4" s="1"/>
  <c r="B39" i="4"/>
  <c r="C39" i="4" s="1"/>
  <c r="C38" i="4"/>
  <c r="B38" i="4"/>
  <c r="C37" i="4"/>
  <c r="B37" i="4"/>
  <c r="B36" i="4"/>
  <c r="C36" i="4" s="1"/>
  <c r="B35" i="4"/>
  <c r="C35" i="4" s="1"/>
  <c r="C34" i="4"/>
  <c r="B34" i="4"/>
  <c r="C33" i="4"/>
  <c r="B33" i="4"/>
  <c r="B32" i="4"/>
  <c r="C32" i="4" s="1"/>
  <c r="B31" i="4"/>
  <c r="C31" i="4" s="1"/>
  <c r="C30" i="4"/>
  <c r="B30" i="4"/>
  <c r="C29" i="4"/>
  <c r="B29" i="4"/>
  <c r="B28" i="4"/>
  <c r="C28" i="4" s="1"/>
  <c r="B27" i="4"/>
  <c r="C27" i="4" s="1"/>
  <c r="C26" i="4"/>
  <c r="B26" i="4"/>
  <c r="C25" i="4"/>
  <c r="B25" i="4"/>
  <c r="B24" i="4"/>
  <c r="C24" i="4" s="1"/>
  <c r="B23" i="4"/>
  <c r="C23" i="4" s="1"/>
  <c r="C22" i="4"/>
  <c r="B22" i="4"/>
  <c r="C21" i="4"/>
  <c r="B21" i="4"/>
  <c r="B20" i="4"/>
  <c r="C20" i="4" s="1"/>
  <c r="B19" i="4"/>
  <c r="C19" i="4" s="1"/>
  <c r="C18" i="4"/>
  <c r="B18" i="4"/>
  <c r="C17" i="4"/>
  <c r="B17" i="4"/>
  <c r="B16" i="4"/>
  <c r="C16" i="4" s="1"/>
  <c r="B15" i="4"/>
  <c r="C15" i="4" s="1"/>
  <c r="C14" i="4"/>
  <c r="B14" i="4"/>
  <c r="C13" i="4"/>
  <c r="B13" i="4"/>
  <c r="B12" i="4"/>
  <c r="C12" i="4" s="1"/>
  <c r="B11" i="4"/>
  <c r="C11" i="4" s="1"/>
  <c r="C10" i="4"/>
  <c r="B10" i="4"/>
  <c r="C9" i="4"/>
  <c r="B9" i="4"/>
  <c r="B8" i="4"/>
  <c r="C8" i="4" s="1"/>
  <c r="B7" i="4"/>
  <c r="C7" i="4" s="1"/>
  <c r="C6" i="4"/>
  <c r="B6" i="4"/>
  <c r="C5" i="4"/>
  <c r="B5" i="4"/>
  <c r="B4" i="4"/>
  <c r="C4" i="4" s="1"/>
  <c r="G52" i="4"/>
  <c r="H52" i="4" s="1"/>
  <c r="G51" i="4"/>
  <c r="H51" i="4" s="1"/>
  <c r="G50" i="4"/>
  <c r="H50" i="4" s="1"/>
  <c r="G49" i="4"/>
  <c r="H49" i="4" s="1"/>
  <c r="G48" i="4"/>
  <c r="H48" i="4" s="1"/>
  <c r="G47" i="4"/>
  <c r="H47" i="4" s="1"/>
  <c r="G46" i="4"/>
  <c r="H46" i="4" s="1"/>
  <c r="G45" i="4"/>
  <c r="H45" i="4" s="1"/>
  <c r="G44" i="4"/>
  <c r="H44" i="4" s="1"/>
  <c r="G43" i="4"/>
  <c r="H43" i="4" s="1"/>
  <c r="G42" i="4"/>
  <c r="H42" i="4" s="1"/>
  <c r="G41" i="4"/>
  <c r="H41" i="4" s="1"/>
  <c r="G40" i="4"/>
  <c r="H40" i="4" s="1"/>
  <c r="G39" i="4"/>
  <c r="H39" i="4" s="1"/>
  <c r="G38" i="4"/>
  <c r="H38" i="4" s="1"/>
  <c r="G37" i="4"/>
  <c r="H37" i="4" s="1"/>
  <c r="G36" i="4"/>
  <c r="H36" i="4" s="1"/>
  <c r="G35" i="4"/>
  <c r="H35" i="4" s="1"/>
  <c r="G34" i="4"/>
  <c r="H34" i="4" s="1"/>
  <c r="G33" i="4"/>
  <c r="H33" i="4" s="1"/>
  <c r="G32" i="4"/>
  <c r="H32" i="4" s="1"/>
  <c r="G31" i="4"/>
  <c r="H31" i="4" s="1"/>
  <c r="G30" i="4"/>
  <c r="H30" i="4" s="1"/>
  <c r="G29" i="4"/>
  <c r="H29" i="4" s="1"/>
  <c r="G28" i="4"/>
  <c r="H28" i="4" s="1"/>
  <c r="G27" i="4"/>
  <c r="H27" i="4" s="1"/>
  <c r="G26" i="4"/>
  <c r="H26" i="4" s="1"/>
  <c r="G25" i="4"/>
  <c r="H25" i="4" s="1"/>
  <c r="G24" i="4"/>
  <c r="H24" i="4" s="1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3" i="4"/>
  <c r="H13" i="4" s="1"/>
  <c r="G12" i="4"/>
  <c r="H12" i="4" s="1"/>
  <c r="G11" i="4"/>
  <c r="H11" i="4" s="1"/>
  <c r="G10" i="4"/>
  <c r="H10" i="4" s="1"/>
  <c r="G9" i="4"/>
  <c r="H9" i="4" s="1"/>
  <c r="G8" i="4"/>
  <c r="H8" i="4" s="1"/>
  <c r="G7" i="4"/>
  <c r="H7" i="4" s="1"/>
  <c r="G6" i="4"/>
  <c r="H6" i="4" s="1"/>
  <c r="G5" i="4"/>
  <c r="H5" i="4" s="1"/>
  <c r="G4" i="4"/>
  <c r="H4" i="4" s="1"/>
  <c r="L52" i="4"/>
  <c r="M52" i="4" s="1"/>
  <c r="L51" i="4"/>
  <c r="M51" i="4" s="1"/>
  <c r="L50" i="4"/>
  <c r="M50" i="4" s="1"/>
  <c r="L49" i="4"/>
  <c r="M49" i="4" s="1"/>
  <c r="L48" i="4"/>
  <c r="M48" i="4" s="1"/>
  <c r="L47" i="4"/>
  <c r="M47" i="4" s="1"/>
  <c r="L46" i="4"/>
  <c r="M46" i="4" s="1"/>
  <c r="L45" i="4"/>
  <c r="M45" i="4" s="1"/>
  <c r="L44" i="4"/>
  <c r="M44" i="4" s="1"/>
  <c r="L43" i="4"/>
  <c r="M43" i="4" s="1"/>
  <c r="L42" i="4"/>
  <c r="M42" i="4" s="1"/>
  <c r="L41" i="4"/>
  <c r="M41" i="4" s="1"/>
  <c r="L40" i="4"/>
  <c r="M40" i="4" s="1"/>
  <c r="L39" i="4"/>
  <c r="M39" i="4" s="1"/>
  <c r="L38" i="4"/>
  <c r="M38" i="4" s="1"/>
  <c r="L37" i="4"/>
  <c r="M37" i="4" s="1"/>
  <c r="L36" i="4"/>
  <c r="M36" i="4" s="1"/>
  <c r="L35" i="4"/>
  <c r="M35" i="4" s="1"/>
  <c r="L34" i="4"/>
  <c r="M34" i="4" s="1"/>
  <c r="L33" i="4"/>
  <c r="M33" i="4" s="1"/>
  <c r="L32" i="4"/>
  <c r="M32" i="4" s="1"/>
  <c r="L31" i="4"/>
  <c r="M31" i="4" s="1"/>
  <c r="L30" i="4"/>
  <c r="M30" i="4" s="1"/>
  <c r="L29" i="4"/>
  <c r="M29" i="4" s="1"/>
  <c r="L28" i="4"/>
  <c r="M28" i="4" s="1"/>
  <c r="L27" i="4"/>
  <c r="M27" i="4" s="1"/>
  <c r="L26" i="4"/>
  <c r="M26" i="4" s="1"/>
  <c r="L25" i="4"/>
  <c r="M25" i="4" s="1"/>
  <c r="L24" i="4"/>
  <c r="M24" i="4" s="1"/>
  <c r="L23" i="4"/>
  <c r="M23" i="4" s="1"/>
  <c r="L22" i="4"/>
  <c r="M22" i="4" s="1"/>
  <c r="L21" i="4"/>
  <c r="M21" i="4" s="1"/>
  <c r="L20" i="4"/>
  <c r="M20" i="4" s="1"/>
  <c r="L19" i="4"/>
  <c r="M19" i="4" s="1"/>
  <c r="L18" i="4"/>
  <c r="M18" i="4" s="1"/>
  <c r="L17" i="4"/>
  <c r="M17" i="4" s="1"/>
  <c r="L16" i="4"/>
  <c r="M16" i="4" s="1"/>
  <c r="L15" i="4"/>
  <c r="M15" i="4" s="1"/>
  <c r="L14" i="4"/>
  <c r="M14" i="4" s="1"/>
  <c r="L13" i="4"/>
  <c r="M13" i="4" s="1"/>
  <c r="L12" i="4"/>
  <c r="M12" i="4" s="1"/>
  <c r="L11" i="4"/>
  <c r="M11" i="4" s="1"/>
  <c r="L10" i="4"/>
  <c r="M10" i="4" s="1"/>
  <c r="L9" i="4"/>
  <c r="M9" i="4" s="1"/>
  <c r="L8" i="4"/>
  <c r="M8" i="4" s="1"/>
  <c r="L7" i="4"/>
  <c r="M7" i="4" s="1"/>
  <c r="L6" i="4"/>
  <c r="M6" i="4" s="1"/>
  <c r="L5" i="4"/>
  <c r="M5" i="4" s="1"/>
  <c r="L4" i="4"/>
  <c r="M4" i="4" s="1"/>
  <c r="R52" i="4"/>
  <c r="S52" i="4" s="1"/>
  <c r="R51" i="4"/>
  <c r="S51" i="4" s="1"/>
  <c r="R50" i="4"/>
  <c r="S50" i="4" s="1"/>
  <c r="S49" i="4"/>
  <c r="R49" i="4"/>
  <c r="R48" i="4"/>
  <c r="S48" i="4" s="1"/>
  <c r="R47" i="4"/>
  <c r="S47" i="4" s="1"/>
  <c r="R46" i="4"/>
  <c r="S46" i="4" s="1"/>
  <c r="S45" i="4"/>
  <c r="R45" i="4"/>
  <c r="R44" i="4"/>
  <c r="S44" i="4" s="1"/>
  <c r="R43" i="4"/>
  <c r="S43" i="4" s="1"/>
  <c r="R42" i="4"/>
  <c r="S42" i="4" s="1"/>
  <c r="S41" i="4"/>
  <c r="R41" i="4"/>
  <c r="R40" i="4"/>
  <c r="S40" i="4" s="1"/>
  <c r="R39" i="4"/>
  <c r="S39" i="4" s="1"/>
  <c r="R38" i="4"/>
  <c r="S38" i="4" s="1"/>
  <c r="S37" i="4"/>
  <c r="R37" i="4"/>
  <c r="R36" i="4"/>
  <c r="S36" i="4" s="1"/>
  <c r="R35" i="4"/>
  <c r="S35" i="4" s="1"/>
  <c r="R34" i="4"/>
  <c r="S34" i="4" s="1"/>
  <c r="S33" i="4"/>
  <c r="R33" i="4"/>
  <c r="R32" i="4"/>
  <c r="S32" i="4" s="1"/>
  <c r="R31" i="4"/>
  <c r="S31" i="4" s="1"/>
  <c r="R30" i="4"/>
  <c r="S30" i="4" s="1"/>
  <c r="S29" i="4"/>
  <c r="R29" i="4"/>
  <c r="R28" i="4"/>
  <c r="S28" i="4" s="1"/>
  <c r="R27" i="4"/>
  <c r="S27" i="4" s="1"/>
  <c r="R26" i="4"/>
  <c r="S26" i="4" s="1"/>
  <c r="S25" i="4"/>
  <c r="R25" i="4"/>
  <c r="R24" i="4"/>
  <c r="S24" i="4" s="1"/>
  <c r="R23" i="4"/>
  <c r="S23" i="4" s="1"/>
  <c r="R22" i="4"/>
  <c r="S22" i="4" s="1"/>
  <c r="S21" i="4"/>
  <c r="R21" i="4"/>
  <c r="R20" i="4"/>
  <c r="S20" i="4" s="1"/>
  <c r="R19" i="4"/>
  <c r="S19" i="4" s="1"/>
  <c r="R18" i="4"/>
  <c r="S18" i="4" s="1"/>
  <c r="S17" i="4"/>
  <c r="R17" i="4"/>
  <c r="R16" i="4"/>
  <c r="S16" i="4" s="1"/>
  <c r="R15" i="4"/>
  <c r="S15" i="4" s="1"/>
  <c r="R14" i="4"/>
  <c r="S14" i="4" s="1"/>
  <c r="S13" i="4"/>
  <c r="R13" i="4"/>
  <c r="R12" i="4"/>
  <c r="S12" i="4" s="1"/>
  <c r="R11" i="4"/>
  <c r="S11" i="4" s="1"/>
  <c r="R10" i="4"/>
  <c r="S10" i="4" s="1"/>
  <c r="S9" i="4"/>
  <c r="R9" i="4"/>
  <c r="R8" i="4"/>
  <c r="S8" i="4" s="1"/>
  <c r="R7" i="4"/>
  <c r="S7" i="4" s="1"/>
  <c r="R6" i="4"/>
  <c r="S6" i="4" s="1"/>
  <c r="S5" i="4"/>
  <c r="R5" i="4"/>
  <c r="R4" i="4"/>
  <c r="S4" i="4" s="1"/>
  <c r="W52" i="4"/>
  <c r="X52" i="4" s="1"/>
  <c r="W51" i="4"/>
  <c r="X51" i="4" s="1"/>
  <c r="W50" i="4"/>
  <c r="X50" i="4" s="1"/>
  <c r="W49" i="4"/>
  <c r="X49" i="4" s="1"/>
  <c r="W48" i="4"/>
  <c r="X48" i="4" s="1"/>
  <c r="W47" i="4"/>
  <c r="X47" i="4" s="1"/>
  <c r="W46" i="4"/>
  <c r="X46" i="4" s="1"/>
  <c r="W45" i="4"/>
  <c r="X45" i="4" s="1"/>
  <c r="W44" i="4"/>
  <c r="X44" i="4" s="1"/>
  <c r="W43" i="4"/>
  <c r="X43" i="4" s="1"/>
  <c r="W42" i="4"/>
  <c r="X42" i="4" s="1"/>
  <c r="X41" i="4"/>
  <c r="W41" i="4"/>
  <c r="W40" i="4"/>
  <c r="X40" i="4" s="1"/>
  <c r="W39" i="4"/>
  <c r="X39" i="4" s="1"/>
  <c r="W38" i="4"/>
  <c r="X38" i="4" s="1"/>
  <c r="X37" i="4"/>
  <c r="W37" i="4"/>
  <c r="W36" i="4"/>
  <c r="X36" i="4" s="1"/>
  <c r="W35" i="4"/>
  <c r="X35" i="4" s="1"/>
  <c r="W34" i="4"/>
  <c r="X34" i="4" s="1"/>
  <c r="W33" i="4"/>
  <c r="X33" i="4" s="1"/>
  <c r="W32" i="4"/>
  <c r="X32" i="4" s="1"/>
  <c r="W31" i="4"/>
  <c r="X31" i="4" s="1"/>
  <c r="W30" i="4"/>
  <c r="X30" i="4" s="1"/>
  <c r="W29" i="4"/>
  <c r="X29" i="4" s="1"/>
  <c r="W28" i="4"/>
  <c r="X28" i="4" s="1"/>
  <c r="W27" i="4"/>
  <c r="X27" i="4" s="1"/>
  <c r="W26" i="4"/>
  <c r="X26" i="4" s="1"/>
  <c r="W25" i="4"/>
  <c r="X25" i="4" s="1"/>
  <c r="W24" i="4"/>
  <c r="X24" i="4" s="1"/>
  <c r="W23" i="4"/>
  <c r="X23" i="4" s="1"/>
  <c r="W22" i="4"/>
  <c r="X22" i="4" s="1"/>
  <c r="W21" i="4"/>
  <c r="X21" i="4" s="1"/>
  <c r="W20" i="4"/>
  <c r="X20" i="4" s="1"/>
  <c r="W19" i="4"/>
  <c r="X19" i="4" s="1"/>
  <c r="W18" i="4"/>
  <c r="X18" i="4" s="1"/>
  <c r="W17" i="4"/>
  <c r="X17" i="4" s="1"/>
  <c r="W16" i="4"/>
  <c r="X16" i="4" s="1"/>
  <c r="W15" i="4"/>
  <c r="X15" i="4" s="1"/>
  <c r="W14" i="4"/>
  <c r="X14" i="4" s="1"/>
  <c r="W13" i="4"/>
  <c r="X13" i="4" s="1"/>
  <c r="W12" i="4"/>
  <c r="X12" i="4" s="1"/>
  <c r="W11" i="4"/>
  <c r="X11" i="4" s="1"/>
  <c r="W10" i="4"/>
  <c r="X10" i="4" s="1"/>
  <c r="W9" i="4"/>
  <c r="X9" i="4" s="1"/>
  <c r="W8" i="4"/>
  <c r="X8" i="4" s="1"/>
  <c r="W7" i="4"/>
  <c r="X7" i="4" s="1"/>
  <c r="W6" i="4"/>
  <c r="X6" i="4" s="1"/>
  <c r="W5" i="4"/>
  <c r="X5" i="4" s="1"/>
  <c r="W4" i="4"/>
  <c r="X4" i="4" s="1"/>
  <c r="AB52" i="4"/>
  <c r="AC52" i="4" s="1"/>
  <c r="AB51" i="4"/>
  <c r="AC51" i="4" s="1"/>
  <c r="AB50" i="4"/>
  <c r="AC50" i="4" s="1"/>
  <c r="AC49" i="4"/>
  <c r="AB49" i="4"/>
  <c r="AB48" i="4"/>
  <c r="AC48" i="4" s="1"/>
  <c r="AB47" i="4"/>
  <c r="AC47" i="4" s="1"/>
  <c r="AB46" i="4"/>
  <c r="AC46" i="4" s="1"/>
  <c r="AC45" i="4"/>
  <c r="AB45" i="4"/>
  <c r="AB44" i="4"/>
  <c r="AC44" i="4" s="1"/>
  <c r="AB43" i="4"/>
  <c r="AC43" i="4" s="1"/>
  <c r="AB42" i="4"/>
  <c r="AC42" i="4" s="1"/>
  <c r="AC41" i="4"/>
  <c r="AB41" i="4"/>
  <c r="AB40" i="4"/>
  <c r="AC40" i="4" s="1"/>
  <c r="AB39" i="4"/>
  <c r="AC39" i="4" s="1"/>
  <c r="AB38" i="4"/>
  <c r="AC38" i="4" s="1"/>
  <c r="AC37" i="4"/>
  <c r="AB37" i="4"/>
  <c r="AB36" i="4"/>
  <c r="AC36" i="4" s="1"/>
  <c r="AB35" i="4"/>
  <c r="AC35" i="4" s="1"/>
  <c r="AB34" i="4"/>
  <c r="AC34" i="4" s="1"/>
  <c r="AC33" i="4"/>
  <c r="AB33" i="4"/>
  <c r="AB32" i="4"/>
  <c r="AC32" i="4" s="1"/>
  <c r="AB31" i="4"/>
  <c r="AC31" i="4" s="1"/>
  <c r="AB30" i="4"/>
  <c r="AC30" i="4" s="1"/>
  <c r="AC29" i="4"/>
  <c r="AB29" i="4"/>
  <c r="AB28" i="4"/>
  <c r="AC28" i="4" s="1"/>
  <c r="AB27" i="4"/>
  <c r="AC27" i="4" s="1"/>
  <c r="AB26" i="4"/>
  <c r="AC26" i="4" s="1"/>
  <c r="AC25" i="4"/>
  <c r="AB25" i="4"/>
  <c r="AB24" i="4"/>
  <c r="AC24" i="4" s="1"/>
  <c r="AB23" i="4"/>
  <c r="AC23" i="4" s="1"/>
  <c r="AB22" i="4"/>
  <c r="AC22" i="4" s="1"/>
  <c r="AC21" i="4"/>
  <c r="AB21" i="4"/>
  <c r="AB20" i="4"/>
  <c r="AC20" i="4" s="1"/>
  <c r="AB19" i="4"/>
  <c r="AC19" i="4" s="1"/>
  <c r="AB18" i="4"/>
  <c r="AC18" i="4" s="1"/>
  <c r="AC17" i="4"/>
  <c r="AB17" i="4"/>
  <c r="AB16" i="4"/>
  <c r="AC16" i="4" s="1"/>
  <c r="AB15" i="4"/>
  <c r="AC15" i="4" s="1"/>
  <c r="AB14" i="4"/>
  <c r="AC14" i="4" s="1"/>
  <c r="AC13" i="4"/>
  <c r="AB13" i="4"/>
  <c r="AB12" i="4"/>
  <c r="AC12" i="4" s="1"/>
  <c r="AB11" i="4"/>
  <c r="AC11" i="4" s="1"/>
  <c r="AB10" i="4"/>
  <c r="AC10" i="4" s="1"/>
  <c r="AC9" i="4"/>
  <c r="AB9" i="4"/>
  <c r="AB8" i="4"/>
  <c r="AC8" i="4" s="1"/>
  <c r="AB7" i="4"/>
  <c r="AC7" i="4" s="1"/>
  <c r="AB6" i="4"/>
  <c r="AC6" i="4" s="1"/>
  <c r="AC5" i="4"/>
  <c r="AB5" i="4"/>
  <c r="AB4" i="4"/>
  <c r="AC4" i="4" s="1"/>
  <c r="AB52" i="5"/>
  <c r="AC52" i="5" s="1"/>
  <c r="AB51" i="5"/>
  <c r="AC51" i="5" s="1"/>
  <c r="AC50" i="5"/>
  <c r="AB50" i="5"/>
  <c r="AB49" i="5"/>
  <c r="AC49" i="5" s="1"/>
  <c r="AB48" i="5"/>
  <c r="AC48" i="5" s="1"/>
  <c r="AB47" i="5"/>
  <c r="AC47" i="5" s="1"/>
  <c r="AC46" i="5"/>
  <c r="AB46" i="5"/>
  <c r="AB45" i="5"/>
  <c r="AC45" i="5" s="1"/>
  <c r="AB44" i="5"/>
  <c r="AC44" i="5" s="1"/>
  <c r="AB43" i="5"/>
  <c r="AC43" i="5" s="1"/>
  <c r="AC42" i="5"/>
  <c r="AB42" i="5"/>
  <c r="AB41" i="5"/>
  <c r="AC41" i="5" s="1"/>
  <c r="AB40" i="5"/>
  <c r="AC40" i="5" s="1"/>
  <c r="AB39" i="5"/>
  <c r="AC39" i="5" s="1"/>
  <c r="AC38" i="5"/>
  <c r="AB38" i="5"/>
  <c r="AB37" i="5"/>
  <c r="AC37" i="5" s="1"/>
  <c r="AB36" i="5"/>
  <c r="AC36" i="5" s="1"/>
  <c r="AB35" i="5"/>
  <c r="AC35" i="5" s="1"/>
  <c r="AC34" i="5"/>
  <c r="AB34" i="5"/>
  <c r="AB33" i="5"/>
  <c r="AC33" i="5" s="1"/>
  <c r="AB32" i="5"/>
  <c r="AC32" i="5" s="1"/>
  <c r="AB31" i="5"/>
  <c r="AC31" i="5" s="1"/>
  <c r="AC30" i="5"/>
  <c r="AB30" i="5"/>
  <c r="AB29" i="5"/>
  <c r="AC29" i="5" s="1"/>
  <c r="AB28" i="5"/>
  <c r="AC28" i="5" s="1"/>
  <c r="AB27" i="5"/>
  <c r="AC27" i="5" s="1"/>
  <c r="AC26" i="5"/>
  <c r="AB26" i="5"/>
  <c r="AB25" i="5"/>
  <c r="AC25" i="5" s="1"/>
  <c r="AB24" i="5"/>
  <c r="AC24" i="5" s="1"/>
  <c r="AB23" i="5"/>
  <c r="AC23" i="5" s="1"/>
  <c r="AC22" i="5"/>
  <c r="AB22" i="5"/>
  <c r="AB21" i="5"/>
  <c r="AC21" i="5" s="1"/>
  <c r="AB20" i="5"/>
  <c r="AC20" i="5" s="1"/>
  <c r="AB19" i="5"/>
  <c r="AC19" i="5" s="1"/>
  <c r="AC18" i="5"/>
  <c r="AB18" i="5"/>
  <c r="AB17" i="5"/>
  <c r="AC17" i="5" s="1"/>
  <c r="AB16" i="5"/>
  <c r="AC16" i="5" s="1"/>
  <c r="AB15" i="5"/>
  <c r="AC15" i="5" s="1"/>
  <c r="AC14" i="5"/>
  <c r="AB14" i="5"/>
  <c r="AB13" i="5"/>
  <c r="AC13" i="5" s="1"/>
  <c r="AB12" i="5"/>
  <c r="AC12" i="5" s="1"/>
  <c r="AB11" i="5"/>
  <c r="AC11" i="5" s="1"/>
  <c r="AC10" i="5"/>
  <c r="AB10" i="5"/>
  <c r="AB9" i="5"/>
  <c r="AC9" i="5" s="1"/>
  <c r="AB8" i="5"/>
  <c r="AC8" i="5" s="1"/>
  <c r="AB7" i="5"/>
  <c r="AC7" i="5" s="1"/>
  <c r="AC6" i="5"/>
  <c r="AB6" i="5"/>
  <c r="AB5" i="5"/>
  <c r="AC5" i="5" s="1"/>
  <c r="AB4" i="5"/>
  <c r="AC4" i="5" s="1"/>
  <c r="W52" i="5"/>
  <c r="X52" i="5" s="1"/>
  <c r="W51" i="5"/>
  <c r="X51" i="5" s="1"/>
  <c r="W50" i="5"/>
  <c r="X50" i="5" s="1"/>
  <c r="X49" i="5"/>
  <c r="W49" i="5"/>
  <c r="W48" i="5"/>
  <c r="X48" i="5" s="1"/>
  <c r="W47" i="5"/>
  <c r="X47" i="5" s="1"/>
  <c r="W46" i="5"/>
  <c r="X46" i="5" s="1"/>
  <c r="X45" i="5"/>
  <c r="W45" i="5"/>
  <c r="W44" i="5"/>
  <c r="X44" i="5" s="1"/>
  <c r="W43" i="5"/>
  <c r="X43" i="5" s="1"/>
  <c r="W42" i="5"/>
  <c r="X42" i="5" s="1"/>
  <c r="X41" i="5"/>
  <c r="W41" i="5"/>
  <c r="W40" i="5"/>
  <c r="X40" i="5" s="1"/>
  <c r="W39" i="5"/>
  <c r="X39" i="5" s="1"/>
  <c r="W38" i="5"/>
  <c r="X38" i="5" s="1"/>
  <c r="X37" i="5"/>
  <c r="W37" i="5"/>
  <c r="W36" i="5"/>
  <c r="X36" i="5" s="1"/>
  <c r="W35" i="5"/>
  <c r="X35" i="5" s="1"/>
  <c r="W34" i="5"/>
  <c r="X34" i="5" s="1"/>
  <c r="X33" i="5"/>
  <c r="W33" i="5"/>
  <c r="W32" i="5"/>
  <c r="X32" i="5" s="1"/>
  <c r="W31" i="5"/>
  <c r="X31" i="5" s="1"/>
  <c r="W30" i="5"/>
  <c r="X30" i="5" s="1"/>
  <c r="X29" i="5"/>
  <c r="W29" i="5"/>
  <c r="W28" i="5"/>
  <c r="X28" i="5" s="1"/>
  <c r="W27" i="5"/>
  <c r="X27" i="5" s="1"/>
  <c r="W26" i="5"/>
  <c r="X26" i="5" s="1"/>
  <c r="X25" i="5"/>
  <c r="W25" i="5"/>
  <c r="W24" i="5"/>
  <c r="X24" i="5" s="1"/>
  <c r="W23" i="5"/>
  <c r="X23" i="5" s="1"/>
  <c r="W22" i="5"/>
  <c r="X22" i="5" s="1"/>
  <c r="X21" i="5"/>
  <c r="W21" i="5"/>
  <c r="W20" i="5"/>
  <c r="X20" i="5" s="1"/>
  <c r="W19" i="5"/>
  <c r="X19" i="5" s="1"/>
  <c r="W18" i="5"/>
  <c r="X18" i="5" s="1"/>
  <c r="X17" i="5"/>
  <c r="W17" i="5"/>
  <c r="W16" i="5"/>
  <c r="X16" i="5" s="1"/>
  <c r="W15" i="5"/>
  <c r="X15" i="5" s="1"/>
  <c r="W14" i="5"/>
  <c r="X14" i="5" s="1"/>
  <c r="X13" i="5"/>
  <c r="W13" i="5"/>
  <c r="W12" i="5"/>
  <c r="X12" i="5" s="1"/>
  <c r="W11" i="5"/>
  <c r="X11" i="5" s="1"/>
  <c r="W10" i="5"/>
  <c r="X10" i="5" s="1"/>
  <c r="X9" i="5"/>
  <c r="W9" i="5"/>
  <c r="W8" i="5"/>
  <c r="X8" i="5" s="1"/>
  <c r="W7" i="5"/>
  <c r="X7" i="5" s="1"/>
  <c r="W6" i="5"/>
  <c r="X6" i="5" s="1"/>
  <c r="X5" i="5"/>
  <c r="W5" i="5"/>
  <c r="W4" i="5"/>
  <c r="X4" i="5" s="1"/>
  <c r="R52" i="5"/>
  <c r="S52" i="5" s="1"/>
  <c r="R51" i="5"/>
  <c r="S51" i="5" s="1"/>
  <c r="R50" i="5"/>
  <c r="S50" i="5" s="1"/>
  <c r="R49" i="5"/>
  <c r="S49" i="5" s="1"/>
  <c r="R48" i="5"/>
  <c r="S48" i="5" s="1"/>
  <c r="R47" i="5"/>
  <c r="S47" i="5" s="1"/>
  <c r="R46" i="5"/>
  <c r="S46" i="5" s="1"/>
  <c r="R45" i="5"/>
  <c r="S45" i="5" s="1"/>
  <c r="R44" i="5"/>
  <c r="S44" i="5" s="1"/>
  <c r="R43" i="5"/>
  <c r="S43" i="5" s="1"/>
  <c r="R42" i="5"/>
  <c r="S42" i="5" s="1"/>
  <c r="R41" i="5"/>
  <c r="S41" i="5" s="1"/>
  <c r="R40" i="5"/>
  <c r="S40" i="5" s="1"/>
  <c r="R39" i="5"/>
  <c r="S39" i="5" s="1"/>
  <c r="R38" i="5"/>
  <c r="S38" i="5" s="1"/>
  <c r="R37" i="5"/>
  <c r="S37" i="5" s="1"/>
  <c r="R36" i="5"/>
  <c r="S36" i="5" s="1"/>
  <c r="R35" i="5"/>
  <c r="S35" i="5" s="1"/>
  <c r="R34" i="5"/>
  <c r="S34" i="5" s="1"/>
  <c r="R33" i="5"/>
  <c r="S33" i="5" s="1"/>
  <c r="R32" i="5"/>
  <c r="S32" i="5" s="1"/>
  <c r="R31" i="5"/>
  <c r="S31" i="5" s="1"/>
  <c r="R30" i="5"/>
  <c r="S30" i="5" s="1"/>
  <c r="R29" i="5"/>
  <c r="S29" i="5" s="1"/>
  <c r="R28" i="5"/>
  <c r="S28" i="5" s="1"/>
  <c r="R27" i="5"/>
  <c r="S27" i="5" s="1"/>
  <c r="R26" i="5"/>
  <c r="S26" i="5" s="1"/>
  <c r="R25" i="5"/>
  <c r="S25" i="5" s="1"/>
  <c r="R24" i="5"/>
  <c r="S24" i="5" s="1"/>
  <c r="R23" i="5"/>
  <c r="S23" i="5" s="1"/>
  <c r="R22" i="5"/>
  <c r="S22" i="5" s="1"/>
  <c r="R21" i="5"/>
  <c r="S21" i="5" s="1"/>
  <c r="R20" i="5"/>
  <c r="S20" i="5" s="1"/>
  <c r="R19" i="5"/>
  <c r="S19" i="5" s="1"/>
  <c r="R18" i="5"/>
  <c r="S18" i="5" s="1"/>
  <c r="R17" i="5"/>
  <c r="S17" i="5" s="1"/>
  <c r="R16" i="5"/>
  <c r="S16" i="5" s="1"/>
  <c r="R15" i="5"/>
  <c r="S15" i="5" s="1"/>
  <c r="R14" i="5"/>
  <c r="S14" i="5" s="1"/>
  <c r="R13" i="5"/>
  <c r="S13" i="5" s="1"/>
  <c r="R12" i="5"/>
  <c r="S12" i="5" s="1"/>
  <c r="R11" i="5"/>
  <c r="S11" i="5" s="1"/>
  <c r="R10" i="5"/>
  <c r="S10" i="5" s="1"/>
  <c r="R9" i="5"/>
  <c r="S9" i="5" s="1"/>
  <c r="R8" i="5"/>
  <c r="S8" i="5" s="1"/>
  <c r="R7" i="5"/>
  <c r="S7" i="5" s="1"/>
  <c r="R6" i="5"/>
  <c r="S6" i="5" s="1"/>
  <c r="R5" i="5"/>
  <c r="S5" i="5" s="1"/>
  <c r="R4" i="5"/>
  <c r="S4" i="5" s="1"/>
  <c r="AC52" i="6"/>
  <c r="AD52" i="6" s="1"/>
  <c r="AC51" i="6"/>
  <c r="AD51" i="6" s="1"/>
  <c r="AC50" i="6"/>
  <c r="AD50" i="6" s="1"/>
  <c r="AC49" i="6"/>
  <c r="AD49" i="6" s="1"/>
  <c r="AC48" i="6"/>
  <c r="AD48" i="6" s="1"/>
  <c r="AC47" i="6"/>
  <c r="AD47" i="6" s="1"/>
  <c r="AC46" i="6"/>
  <c r="AD46" i="6" s="1"/>
  <c r="AC45" i="6"/>
  <c r="AD45" i="6" s="1"/>
  <c r="AC44" i="6"/>
  <c r="AD44" i="6" s="1"/>
  <c r="AC43" i="6"/>
  <c r="AD43" i="6" s="1"/>
  <c r="AC42" i="6"/>
  <c r="AD42" i="6" s="1"/>
  <c r="AC41" i="6"/>
  <c r="AD41" i="6" s="1"/>
  <c r="AC40" i="6"/>
  <c r="AD40" i="6" s="1"/>
  <c r="AC39" i="6"/>
  <c r="AD39" i="6" s="1"/>
  <c r="AC38" i="6"/>
  <c r="AD38" i="6" s="1"/>
  <c r="AC37" i="6"/>
  <c r="AD37" i="6" s="1"/>
  <c r="AC36" i="6"/>
  <c r="AD36" i="6" s="1"/>
  <c r="AC35" i="6"/>
  <c r="AD35" i="6" s="1"/>
  <c r="AC34" i="6"/>
  <c r="AD34" i="6" s="1"/>
  <c r="AC33" i="6"/>
  <c r="AD33" i="6" s="1"/>
  <c r="AC32" i="6"/>
  <c r="AD32" i="6" s="1"/>
  <c r="AC31" i="6"/>
  <c r="AD31" i="6" s="1"/>
  <c r="AC30" i="6"/>
  <c r="AD30" i="6" s="1"/>
  <c r="AC29" i="6"/>
  <c r="AD29" i="6" s="1"/>
  <c r="AC28" i="6"/>
  <c r="AD28" i="6" s="1"/>
  <c r="AC27" i="6"/>
  <c r="AD27" i="6" s="1"/>
  <c r="AC26" i="6"/>
  <c r="AD26" i="6" s="1"/>
  <c r="AC25" i="6"/>
  <c r="AD25" i="6" s="1"/>
  <c r="AC24" i="6"/>
  <c r="AD24" i="6" s="1"/>
  <c r="AC23" i="6"/>
  <c r="AD23" i="6" s="1"/>
  <c r="AC22" i="6"/>
  <c r="AD22" i="6" s="1"/>
  <c r="AC21" i="6"/>
  <c r="AD21" i="6" s="1"/>
  <c r="AC20" i="6"/>
  <c r="AD20" i="6" s="1"/>
  <c r="AC19" i="6"/>
  <c r="AD19" i="6" s="1"/>
  <c r="AC18" i="6"/>
  <c r="AD18" i="6" s="1"/>
  <c r="AC17" i="6"/>
  <c r="AD17" i="6" s="1"/>
  <c r="AC16" i="6"/>
  <c r="AD16" i="6" s="1"/>
  <c r="AC15" i="6"/>
  <c r="AD15" i="6" s="1"/>
  <c r="AC14" i="6"/>
  <c r="AD14" i="6" s="1"/>
  <c r="AC13" i="6"/>
  <c r="AD13" i="6" s="1"/>
  <c r="AC12" i="6"/>
  <c r="AD12" i="6" s="1"/>
  <c r="AC11" i="6"/>
  <c r="AD11" i="6" s="1"/>
  <c r="AC10" i="6"/>
  <c r="AD10" i="6" s="1"/>
  <c r="AC9" i="6"/>
  <c r="AD9" i="6" s="1"/>
  <c r="AC8" i="6"/>
  <c r="AD8" i="6" s="1"/>
  <c r="AC7" i="6"/>
  <c r="AD7" i="6" s="1"/>
  <c r="AC6" i="6"/>
  <c r="AD6" i="6" s="1"/>
  <c r="AC5" i="6"/>
  <c r="AD5" i="6" s="1"/>
  <c r="AC4" i="6"/>
  <c r="AD4" i="6" s="1"/>
  <c r="X52" i="6"/>
  <c r="Y52" i="6" s="1"/>
  <c r="Y51" i="6"/>
  <c r="X51" i="6"/>
  <c r="X50" i="6"/>
  <c r="Y50" i="6" s="1"/>
  <c r="X49" i="6"/>
  <c r="Y49" i="6" s="1"/>
  <c r="X48" i="6"/>
  <c r="Y48" i="6" s="1"/>
  <c r="Y47" i="6"/>
  <c r="X47" i="6"/>
  <c r="X46" i="6"/>
  <c r="Y46" i="6" s="1"/>
  <c r="X45" i="6"/>
  <c r="Y45" i="6" s="1"/>
  <c r="X44" i="6"/>
  <c r="Y44" i="6" s="1"/>
  <c r="Y43" i="6"/>
  <c r="X43" i="6"/>
  <c r="X42" i="6"/>
  <c r="Y42" i="6" s="1"/>
  <c r="X41" i="6"/>
  <c r="Y41" i="6" s="1"/>
  <c r="X40" i="6"/>
  <c r="Y40" i="6" s="1"/>
  <c r="Y39" i="6"/>
  <c r="X39" i="6"/>
  <c r="X38" i="6"/>
  <c r="Y38" i="6" s="1"/>
  <c r="X37" i="6"/>
  <c r="Y37" i="6" s="1"/>
  <c r="X36" i="6"/>
  <c r="Y36" i="6" s="1"/>
  <c r="Y35" i="6"/>
  <c r="X35" i="6"/>
  <c r="X34" i="6"/>
  <c r="Y34" i="6" s="1"/>
  <c r="X33" i="6"/>
  <c r="Y33" i="6" s="1"/>
  <c r="X32" i="6"/>
  <c r="Y32" i="6" s="1"/>
  <c r="Y31" i="6"/>
  <c r="X31" i="6"/>
  <c r="X30" i="6"/>
  <c r="Y30" i="6" s="1"/>
  <c r="X29" i="6"/>
  <c r="Y29" i="6" s="1"/>
  <c r="X28" i="6"/>
  <c r="Y28" i="6" s="1"/>
  <c r="Y27" i="6"/>
  <c r="X27" i="6"/>
  <c r="X26" i="6"/>
  <c r="Y26" i="6" s="1"/>
  <c r="X25" i="6"/>
  <c r="Y25" i="6" s="1"/>
  <c r="X24" i="6"/>
  <c r="Y24" i="6" s="1"/>
  <c r="Y23" i="6"/>
  <c r="X23" i="6"/>
  <c r="X22" i="6"/>
  <c r="Y22" i="6" s="1"/>
  <c r="X21" i="6"/>
  <c r="Y21" i="6" s="1"/>
  <c r="X20" i="6"/>
  <c r="Y20" i="6" s="1"/>
  <c r="Y19" i="6"/>
  <c r="X19" i="6"/>
  <c r="X18" i="6"/>
  <c r="Y18" i="6" s="1"/>
  <c r="X17" i="6"/>
  <c r="Y17" i="6" s="1"/>
  <c r="X16" i="6"/>
  <c r="Y16" i="6" s="1"/>
  <c r="Y15" i="6"/>
  <c r="X15" i="6"/>
  <c r="X14" i="6"/>
  <c r="Y14" i="6" s="1"/>
  <c r="X13" i="6"/>
  <c r="Y13" i="6" s="1"/>
  <c r="X12" i="6"/>
  <c r="Y12" i="6" s="1"/>
  <c r="Y11" i="6"/>
  <c r="X11" i="6"/>
  <c r="X10" i="6"/>
  <c r="Y10" i="6" s="1"/>
  <c r="X9" i="6"/>
  <c r="Y9" i="6" s="1"/>
  <c r="X8" i="6"/>
  <c r="Y8" i="6" s="1"/>
  <c r="Y7" i="6"/>
  <c r="X7" i="6"/>
  <c r="X6" i="6"/>
  <c r="Y6" i="6" s="1"/>
  <c r="X5" i="6"/>
  <c r="Y5" i="6" s="1"/>
  <c r="X4" i="6"/>
  <c r="Y4" i="6" s="1"/>
  <c r="S52" i="6"/>
  <c r="T52" i="6" s="1"/>
  <c r="S51" i="6"/>
  <c r="T51" i="6" s="1"/>
  <c r="S50" i="6"/>
  <c r="T50" i="6" s="1"/>
  <c r="S49" i="6"/>
  <c r="T49" i="6" s="1"/>
  <c r="S48" i="6"/>
  <c r="T48" i="6" s="1"/>
  <c r="S47" i="6"/>
  <c r="T47" i="6" s="1"/>
  <c r="S46" i="6"/>
  <c r="T46" i="6" s="1"/>
  <c r="S45" i="6"/>
  <c r="T45" i="6" s="1"/>
  <c r="S44" i="6"/>
  <c r="T44" i="6" s="1"/>
  <c r="S43" i="6"/>
  <c r="T43" i="6" s="1"/>
  <c r="S42" i="6"/>
  <c r="T42" i="6" s="1"/>
  <c r="S41" i="6"/>
  <c r="T41" i="6" s="1"/>
  <c r="S40" i="6"/>
  <c r="T40" i="6" s="1"/>
  <c r="S39" i="6"/>
  <c r="T39" i="6" s="1"/>
  <c r="S38" i="6"/>
  <c r="T38" i="6" s="1"/>
  <c r="S37" i="6"/>
  <c r="T37" i="6" s="1"/>
  <c r="S36" i="6"/>
  <c r="T36" i="6" s="1"/>
  <c r="S35" i="6"/>
  <c r="T35" i="6" s="1"/>
  <c r="S34" i="6"/>
  <c r="T34" i="6" s="1"/>
  <c r="S33" i="6"/>
  <c r="T33" i="6" s="1"/>
  <c r="S32" i="6"/>
  <c r="T32" i="6" s="1"/>
  <c r="S31" i="6"/>
  <c r="T31" i="6" s="1"/>
  <c r="S30" i="6"/>
  <c r="T30" i="6" s="1"/>
  <c r="S29" i="6"/>
  <c r="T29" i="6" s="1"/>
  <c r="S28" i="6"/>
  <c r="T28" i="6" s="1"/>
  <c r="S27" i="6"/>
  <c r="T27" i="6" s="1"/>
  <c r="S26" i="6"/>
  <c r="T26" i="6" s="1"/>
  <c r="S25" i="6"/>
  <c r="T25" i="6" s="1"/>
  <c r="S24" i="6"/>
  <c r="T24" i="6" s="1"/>
  <c r="S23" i="6"/>
  <c r="T23" i="6" s="1"/>
  <c r="S22" i="6"/>
  <c r="T22" i="6" s="1"/>
  <c r="S21" i="6"/>
  <c r="T21" i="6" s="1"/>
  <c r="S20" i="6"/>
  <c r="T20" i="6" s="1"/>
  <c r="S19" i="6"/>
  <c r="T19" i="6" s="1"/>
  <c r="S18" i="6"/>
  <c r="T18" i="6" s="1"/>
  <c r="S17" i="6"/>
  <c r="T17" i="6" s="1"/>
  <c r="S16" i="6"/>
  <c r="T16" i="6" s="1"/>
  <c r="S15" i="6"/>
  <c r="T15" i="6" s="1"/>
  <c r="S14" i="6"/>
  <c r="T14" i="6" s="1"/>
  <c r="S13" i="6"/>
  <c r="T13" i="6" s="1"/>
  <c r="S12" i="6"/>
  <c r="T12" i="6" s="1"/>
  <c r="S11" i="6"/>
  <c r="T11" i="6" s="1"/>
  <c r="S10" i="6"/>
  <c r="T10" i="6" s="1"/>
  <c r="S9" i="6"/>
  <c r="T9" i="6" s="1"/>
  <c r="S8" i="6"/>
  <c r="T8" i="6" s="1"/>
  <c r="S7" i="6"/>
  <c r="T7" i="6" s="1"/>
  <c r="S6" i="6"/>
  <c r="T6" i="6" s="1"/>
  <c r="S5" i="6"/>
  <c r="T5" i="6" s="1"/>
  <c r="S4" i="6"/>
  <c r="T4" i="6" s="1"/>
  <c r="L52" i="5"/>
  <c r="M52" i="5" s="1"/>
  <c r="L51" i="5"/>
  <c r="M51" i="5" s="1"/>
  <c r="L50" i="5"/>
  <c r="M50" i="5" s="1"/>
  <c r="M49" i="5"/>
  <c r="L49" i="5"/>
  <c r="L48" i="5"/>
  <c r="M48" i="5" s="1"/>
  <c r="L47" i="5"/>
  <c r="M47" i="5" s="1"/>
  <c r="L46" i="5"/>
  <c r="M46" i="5" s="1"/>
  <c r="M45" i="5"/>
  <c r="L45" i="5"/>
  <c r="L44" i="5"/>
  <c r="M44" i="5" s="1"/>
  <c r="L43" i="5"/>
  <c r="M43" i="5" s="1"/>
  <c r="L42" i="5"/>
  <c r="M42" i="5" s="1"/>
  <c r="M41" i="5"/>
  <c r="L41" i="5"/>
  <c r="L40" i="5"/>
  <c r="M40" i="5" s="1"/>
  <c r="L39" i="5"/>
  <c r="M39" i="5" s="1"/>
  <c r="L38" i="5"/>
  <c r="M38" i="5" s="1"/>
  <c r="M37" i="5"/>
  <c r="L37" i="5"/>
  <c r="L36" i="5"/>
  <c r="M36" i="5" s="1"/>
  <c r="L35" i="5"/>
  <c r="M35" i="5" s="1"/>
  <c r="L34" i="5"/>
  <c r="M34" i="5" s="1"/>
  <c r="M33" i="5"/>
  <c r="L33" i="5"/>
  <c r="L32" i="5"/>
  <c r="M32" i="5" s="1"/>
  <c r="L31" i="5"/>
  <c r="M31" i="5" s="1"/>
  <c r="L30" i="5"/>
  <c r="M30" i="5" s="1"/>
  <c r="M29" i="5"/>
  <c r="L29" i="5"/>
  <c r="L28" i="5"/>
  <c r="M28" i="5" s="1"/>
  <c r="L27" i="5"/>
  <c r="M27" i="5" s="1"/>
  <c r="L26" i="5"/>
  <c r="M26" i="5" s="1"/>
  <c r="M25" i="5"/>
  <c r="L25" i="5"/>
  <c r="L24" i="5"/>
  <c r="M24" i="5" s="1"/>
  <c r="L23" i="5"/>
  <c r="M23" i="5" s="1"/>
  <c r="L22" i="5"/>
  <c r="M22" i="5" s="1"/>
  <c r="M21" i="5"/>
  <c r="L21" i="5"/>
  <c r="L20" i="5"/>
  <c r="M20" i="5" s="1"/>
  <c r="L19" i="5"/>
  <c r="M19" i="5" s="1"/>
  <c r="L18" i="5"/>
  <c r="M18" i="5" s="1"/>
  <c r="M17" i="5"/>
  <c r="L17" i="5"/>
  <c r="L16" i="5"/>
  <c r="M16" i="5" s="1"/>
  <c r="L15" i="5"/>
  <c r="M15" i="5" s="1"/>
  <c r="L14" i="5"/>
  <c r="M14" i="5" s="1"/>
  <c r="M13" i="5"/>
  <c r="L13" i="5"/>
  <c r="L12" i="5"/>
  <c r="M12" i="5" s="1"/>
  <c r="L11" i="5"/>
  <c r="M11" i="5" s="1"/>
  <c r="L10" i="5"/>
  <c r="M10" i="5" s="1"/>
  <c r="M9" i="5"/>
  <c r="L9" i="5"/>
  <c r="L8" i="5"/>
  <c r="M8" i="5" s="1"/>
  <c r="L7" i="5"/>
  <c r="M7" i="5" s="1"/>
  <c r="L6" i="5"/>
  <c r="M6" i="5" s="1"/>
  <c r="M5" i="5"/>
  <c r="L5" i="5"/>
  <c r="L4" i="5"/>
  <c r="M4" i="5" s="1"/>
  <c r="G52" i="5"/>
  <c r="H52" i="5" s="1"/>
  <c r="G51" i="5"/>
  <c r="H51" i="5" s="1"/>
  <c r="G50" i="5"/>
  <c r="H50" i="5" s="1"/>
  <c r="H49" i="5"/>
  <c r="G49" i="5"/>
  <c r="G48" i="5"/>
  <c r="H48" i="5" s="1"/>
  <c r="G47" i="5"/>
  <c r="H47" i="5" s="1"/>
  <c r="G46" i="5"/>
  <c r="H46" i="5" s="1"/>
  <c r="H45" i="5"/>
  <c r="G45" i="5"/>
  <c r="G44" i="5"/>
  <c r="H44" i="5" s="1"/>
  <c r="G43" i="5"/>
  <c r="H43" i="5" s="1"/>
  <c r="G42" i="5"/>
  <c r="H42" i="5" s="1"/>
  <c r="H41" i="5"/>
  <c r="G41" i="5"/>
  <c r="G40" i="5"/>
  <c r="H40" i="5" s="1"/>
  <c r="G39" i="5"/>
  <c r="H39" i="5" s="1"/>
  <c r="G38" i="5"/>
  <c r="H38" i="5" s="1"/>
  <c r="H37" i="5"/>
  <c r="G37" i="5"/>
  <c r="G36" i="5"/>
  <c r="H36" i="5" s="1"/>
  <c r="G35" i="5"/>
  <c r="H35" i="5" s="1"/>
  <c r="G34" i="5"/>
  <c r="H34" i="5" s="1"/>
  <c r="H33" i="5"/>
  <c r="G33" i="5"/>
  <c r="G32" i="5"/>
  <c r="H32" i="5" s="1"/>
  <c r="G31" i="5"/>
  <c r="H31" i="5" s="1"/>
  <c r="G30" i="5"/>
  <c r="H30" i="5" s="1"/>
  <c r="H29" i="5"/>
  <c r="G29" i="5"/>
  <c r="G28" i="5"/>
  <c r="H28" i="5" s="1"/>
  <c r="G27" i="5"/>
  <c r="H27" i="5" s="1"/>
  <c r="G26" i="5"/>
  <c r="H26" i="5" s="1"/>
  <c r="H25" i="5"/>
  <c r="G25" i="5"/>
  <c r="G24" i="5"/>
  <c r="H24" i="5" s="1"/>
  <c r="G23" i="5"/>
  <c r="H23" i="5" s="1"/>
  <c r="G22" i="5"/>
  <c r="H22" i="5" s="1"/>
  <c r="H21" i="5"/>
  <c r="G21" i="5"/>
  <c r="G20" i="5"/>
  <c r="H20" i="5" s="1"/>
  <c r="G19" i="5"/>
  <c r="H19" i="5" s="1"/>
  <c r="G18" i="5"/>
  <c r="H18" i="5" s="1"/>
  <c r="H17" i="5"/>
  <c r="G17" i="5"/>
  <c r="G16" i="5"/>
  <c r="H16" i="5" s="1"/>
  <c r="G15" i="5"/>
  <c r="H15" i="5" s="1"/>
  <c r="G14" i="5"/>
  <c r="H14" i="5" s="1"/>
  <c r="H13" i="5"/>
  <c r="G13" i="5"/>
  <c r="G12" i="5"/>
  <c r="H12" i="5" s="1"/>
  <c r="G11" i="5"/>
  <c r="H11" i="5" s="1"/>
  <c r="G10" i="5"/>
  <c r="H10" i="5" s="1"/>
  <c r="H9" i="5"/>
  <c r="G9" i="5"/>
  <c r="G8" i="5"/>
  <c r="H8" i="5" s="1"/>
  <c r="G7" i="5"/>
  <c r="H7" i="5" s="1"/>
  <c r="G6" i="5"/>
  <c r="H6" i="5" s="1"/>
  <c r="H5" i="5"/>
  <c r="G5" i="5"/>
  <c r="G4" i="5"/>
  <c r="H4" i="5" s="1"/>
  <c r="B52" i="5"/>
  <c r="C52" i="5" s="1"/>
  <c r="B51" i="5"/>
  <c r="C51" i="5" s="1"/>
  <c r="B50" i="5"/>
  <c r="C50" i="5" s="1"/>
  <c r="C49" i="5"/>
  <c r="B49" i="5"/>
  <c r="B48" i="5"/>
  <c r="C48" i="5" s="1"/>
  <c r="B47" i="5"/>
  <c r="C47" i="5" s="1"/>
  <c r="B46" i="5"/>
  <c r="C46" i="5" s="1"/>
  <c r="C45" i="5"/>
  <c r="B45" i="5"/>
  <c r="B44" i="5"/>
  <c r="C44" i="5" s="1"/>
  <c r="B43" i="5"/>
  <c r="C43" i="5" s="1"/>
  <c r="B42" i="5"/>
  <c r="C42" i="5" s="1"/>
  <c r="C41" i="5"/>
  <c r="B41" i="5"/>
  <c r="B40" i="5"/>
  <c r="C40" i="5" s="1"/>
  <c r="B39" i="5"/>
  <c r="C39" i="5" s="1"/>
  <c r="B38" i="5"/>
  <c r="C38" i="5" s="1"/>
  <c r="C37" i="5"/>
  <c r="B37" i="5"/>
  <c r="B36" i="5"/>
  <c r="C36" i="5" s="1"/>
  <c r="B35" i="5"/>
  <c r="C35" i="5" s="1"/>
  <c r="B34" i="5"/>
  <c r="C34" i="5" s="1"/>
  <c r="C33" i="5"/>
  <c r="B33" i="5"/>
  <c r="B32" i="5"/>
  <c r="C32" i="5" s="1"/>
  <c r="B31" i="5"/>
  <c r="C31" i="5" s="1"/>
  <c r="B30" i="5"/>
  <c r="C30" i="5" s="1"/>
  <c r="C29" i="5"/>
  <c r="B29" i="5"/>
  <c r="B28" i="5"/>
  <c r="C28" i="5" s="1"/>
  <c r="B27" i="5"/>
  <c r="C27" i="5" s="1"/>
  <c r="B26" i="5"/>
  <c r="C26" i="5" s="1"/>
  <c r="C25" i="5"/>
  <c r="B25" i="5"/>
  <c r="B24" i="5"/>
  <c r="C24" i="5" s="1"/>
  <c r="B23" i="5"/>
  <c r="C23" i="5" s="1"/>
  <c r="B22" i="5"/>
  <c r="C22" i="5" s="1"/>
  <c r="C21" i="5"/>
  <c r="B21" i="5"/>
  <c r="B20" i="5"/>
  <c r="C20" i="5" s="1"/>
  <c r="B19" i="5"/>
  <c r="C19" i="5" s="1"/>
  <c r="B18" i="5"/>
  <c r="C18" i="5" s="1"/>
  <c r="C17" i="5"/>
  <c r="B17" i="5"/>
  <c r="B16" i="5"/>
  <c r="C16" i="5" s="1"/>
  <c r="B15" i="5"/>
  <c r="C15" i="5" s="1"/>
  <c r="B14" i="5"/>
  <c r="C14" i="5" s="1"/>
  <c r="C13" i="5"/>
  <c r="B13" i="5"/>
  <c r="B12" i="5"/>
  <c r="C12" i="5" s="1"/>
  <c r="B11" i="5"/>
  <c r="C11" i="5" s="1"/>
  <c r="B10" i="5"/>
  <c r="C10" i="5" s="1"/>
  <c r="C9" i="5"/>
  <c r="B9" i="5"/>
  <c r="B8" i="5"/>
  <c r="C8" i="5" s="1"/>
  <c r="B7" i="5"/>
  <c r="C7" i="5" s="1"/>
  <c r="B6" i="5"/>
  <c r="C6" i="5" s="1"/>
  <c r="C5" i="5"/>
  <c r="B5" i="5"/>
  <c r="B4" i="5"/>
  <c r="C4" i="5" s="1"/>
  <c r="M52" i="6"/>
  <c r="L52" i="6"/>
  <c r="L51" i="6"/>
  <c r="M51" i="6" s="1"/>
  <c r="L50" i="6"/>
  <c r="M50" i="6" s="1"/>
  <c r="L49" i="6"/>
  <c r="M49" i="6" s="1"/>
  <c r="M48" i="6"/>
  <c r="L48" i="6"/>
  <c r="L47" i="6"/>
  <c r="M47" i="6" s="1"/>
  <c r="L46" i="6"/>
  <c r="M46" i="6" s="1"/>
  <c r="L45" i="6"/>
  <c r="M45" i="6" s="1"/>
  <c r="M44" i="6"/>
  <c r="L44" i="6"/>
  <c r="L43" i="6"/>
  <c r="M43" i="6" s="1"/>
  <c r="L42" i="6"/>
  <c r="M42" i="6" s="1"/>
  <c r="L41" i="6"/>
  <c r="M41" i="6" s="1"/>
  <c r="M40" i="6"/>
  <c r="L40" i="6"/>
  <c r="L39" i="6"/>
  <c r="M39" i="6" s="1"/>
  <c r="L38" i="6"/>
  <c r="M38" i="6" s="1"/>
  <c r="L37" i="6"/>
  <c r="M37" i="6" s="1"/>
  <c r="M36" i="6"/>
  <c r="L36" i="6"/>
  <c r="L35" i="6"/>
  <c r="M35" i="6" s="1"/>
  <c r="L34" i="6"/>
  <c r="M34" i="6" s="1"/>
  <c r="L33" i="6"/>
  <c r="M33" i="6" s="1"/>
  <c r="M32" i="6"/>
  <c r="L32" i="6"/>
  <c r="L31" i="6"/>
  <c r="M31" i="6" s="1"/>
  <c r="L30" i="6"/>
  <c r="M30" i="6" s="1"/>
  <c r="L29" i="6"/>
  <c r="M29" i="6" s="1"/>
  <c r="M28" i="6"/>
  <c r="L28" i="6"/>
  <c r="L27" i="6"/>
  <c r="M27" i="6" s="1"/>
  <c r="L26" i="6"/>
  <c r="M26" i="6" s="1"/>
  <c r="L25" i="6"/>
  <c r="M25" i="6" s="1"/>
  <c r="M24" i="6"/>
  <c r="L24" i="6"/>
  <c r="L23" i="6"/>
  <c r="M23" i="6" s="1"/>
  <c r="L22" i="6"/>
  <c r="M22" i="6" s="1"/>
  <c r="L21" i="6"/>
  <c r="M21" i="6" s="1"/>
  <c r="M20" i="6"/>
  <c r="L20" i="6"/>
  <c r="L19" i="6"/>
  <c r="M19" i="6" s="1"/>
  <c r="L18" i="6"/>
  <c r="M18" i="6" s="1"/>
  <c r="L17" i="6"/>
  <c r="M17" i="6" s="1"/>
  <c r="M16" i="6"/>
  <c r="L16" i="6"/>
  <c r="L15" i="6"/>
  <c r="M15" i="6" s="1"/>
  <c r="L14" i="6"/>
  <c r="M14" i="6" s="1"/>
  <c r="L13" i="6"/>
  <c r="M13" i="6" s="1"/>
  <c r="M12" i="6"/>
  <c r="L12" i="6"/>
  <c r="L11" i="6"/>
  <c r="M11" i="6" s="1"/>
  <c r="L10" i="6"/>
  <c r="M10" i="6" s="1"/>
  <c r="L9" i="6"/>
  <c r="M9" i="6" s="1"/>
  <c r="M8" i="6"/>
  <c r="L8" i="6"/>
  <c r="L7" i="6"/>
  <c r="M7" i="6" s="1"/>
  <c r="L6" i="6"/>
  <c r="M6" i="6" s="1"/>
  <c r="L5" i="6"/>
  <c r="M5" i="6" s="1"/>
  <c r="M4" i="6"/>
  <c r="L4" i="6"/>
  <c r="G52" i="6"/>
  <c r="H52" i="6" s="1"/>
  <c r="G51" i="6"/>
  <c r="H51" i="6" s="1"/>
  <c r="G50" i="6"/>
  <c r="H50" i="6" s="1"/>
  <c r="H49" i="6"/>
  <c r="G49" i="6"/>
  <c r="G48" i="6"/>
  <c r="H48" i="6" s="1"/>
  <c r="G47" i="6"/>
  <c r="H47" i="6" s="1"/>
  <c r="G46" i="6"/>
  <c r="H46" i="6" s="1"/>
  <c r="H45" i="6"/>
  <c r="G45" i="6"/>
  <c r="G44" i="6"/>
  <c r="H44" i="6" s="1"/>
  <c r="G43" i="6"/>
  <c r="H43" i="6" s="1"/>
  <c r="G42" i="6"/>
  <c r="H42" i="6" s="1"/>
  <c r="H41" i="6"/>
  <c r="G41" i="6"/>
  <c r="G40" i="6"/>
  <c r="H40" i="6" s="1"/>
  <c r="G39" i="6"/>
  <c r="H39" i="6" s="1"/>
  <c r="G38" i="6"/>
  <c r="H38" i="6" s="1"/>
  <c r="H37" i="6"/>
  <c r="G37" i="6"/>
  <c r="G36" i="6"/>
  <c r="H36" i="6" s="1"/>
  <c r="G35" i="6"/>
  <c r="H35" i="6" s="1"/>
  <c r="G34" i="6"/>
  <c r="H34" i="6" s="1"/>
  <c r="H33" i="6"/>
  <c r="G33" i="6"/>
  <c r="G32" i="6"/>
  <c r="H32" i="6" s="1"/>
  <c r="G31" i="6"/>
  <c r="H31" i="6" s="1"/>
  <c r="G30" i="6"/>
  <c r="H30" i="6" s="1"/>
  <c r="H29" i="6"/>
  <c r="G29" i="6"/>
  <c r="G28" i="6"/>
  <c r="H28" i="6" s="1"/>
  <c r="G27" i="6"/>
  <c r="H27" i="6" s="1"/>
  <c r="G26" i="6"/>
  <c r="H26" i="6" s="1"/>
  <c r="H25" i="6"/>
  <c r="G25" i="6"/>
  <c r="G24" i="6"/>
  <c r="H24" i="6" s="1"/>
  <c r="G23" i="6"/>
  <c r="H23" i="6" s="1"/>
  <c r="G22" i="6"/>
  <c r="H22" i="6" s="1"/>
  <c r="H21" i="6"/>
  <c r="G21" i="6"/>
  <c r="G20" i="6"/>
  <c r="H20" i="6" s="1"/>
  <c r="G19" i="6"/>
  <c r="H19" i="6" s="1"/>
  <c r="G18" i="6"/>
  <c r="H18" i="6" s="1"/>
  <c r="H17" i="6"/>
  <c r="G17" i="6"/>
  <c r="G16" i="6"/>
  <c r="H16" i="6" s="1"/>
  <c r="G15" i="6"/>
  <c r="H15" i="6" s="1"/>
  <c r="G14" i="6"/>
  <c r="H14" i="6" s="1"/>
  <c r="H13" i="6"/>
  <c r="G13" i="6"/>
  <c r="G12" i="6"/>
  <c r="H12" i="6" s="1"/>
  <c r="G11" i="6"/>
  <c r="H11" i="6" s="1"/>
  <c r="G10" i="6"/>
  <c r="H10" i="6" s="1"/>
  <c r="H9" i="6"/>
  <c r="G9" i="6"/>
  <c r="G8" i="6"/>
  <c r="H8" i="6" s="1"/>
  <c r="G7" i="6"/>
  <c r="H7" i="6" s="1"/>
  <c r="G6" i="6"/>
  <c r="H6" i="6" s="1"/>
  <c r="H5" i="6"/>
  <c r="G5" i="6"/>
  <c r="G4" i="6"/>
  <c r="H4" i="6" s="1"/>
  <c r="B52" i="6"/>
  <c r="C52" i="6" s="1"/>
  <c r="B51" i="6"/>
  <c r="C51" i="6" s="1"/>
  <c r="B50" i="6"/>
  <c r="C50" i="6" s="1"/>
  <c r="B49" i="6"/>
  <c r="C49" i="6" s="1"/>
  <c r="B48" i="6"/>
  <c r="C48" i="6" s="1"/>
  <c r="B47" i="6"/>
  <c r="C47" i="6" s="1"/>
  <c r="B46" i="6"/>
  <c r="C46" i="6" s="1"/>
  <c r="B45" i="6"/>
  <c r="C45" i="6" s="1"/>
  <c r="B44" i="6"/>
  <c r="C44" i="6" s="1"/>
  <c r="B43" i="6"/>
  <c r="C43" i="6" s="1"/>
  <c r="B42" i="6"/>
  <c r="C42" i="6" s="1"/>
  <c r="B41" i="6"/>
  <c r="C41" i="6" s="1"/>
  <c r="B40" i="6"/>
  <c r="C40" i="6" s="1"/>
  <c r="B39" i="6"/>
  <c r="C39" i="6" s="1"/>
  <c r="B38" i="6"/>
  <c r="C38" i="6" s="1"/>
  <c r="B37" i="6"/>
  <c r="C37" i="6" s="1"/>
  <c r="B36" i="6"/>
  <c r="C36" i="6" s="1"/>
  <c r="B35" i="6"/>
  <c r="C35" i="6" s="1"/>
  <c r="B34" i="6"/>
  <c r="C34" i="6" s="1"/>
  <c r="B33" i="6"/>
  <c r="C33" i="6" s="1"/>
  <c r="B32" i="6"/>
  <c r="C32" i="6" s="1"/>
  <c r="B31" i="6"/>
  <c r="C31" i="6" s="1"/>
  <c r="B30" i="6"/>
  <c r="C30" i="6" s="1"/>
  <c r="B29" i="6"/>
  <c r="C29" i="6" s="1"/>
  <c r="B28" i="6"/>
  <c r="C28" i="6" s="1"/>
  <c r="B27" i="6"/>
  <c r="C27" i="6" s="1"/>
  <c r="B26" i="6"/>
  <c r="C26" i="6" s="1"/>
  <c r="B25" i="6"/>
  <c r="C25" i="6" s="1"/>
  <c r="B24" i="6"/>
  <c r="C24" i="6" s="1"/>
  <c r="B23" i="6"/>
  <c r="C23" i="6" s="1"/>
  <c r="B22" i="6"/>
  <c r="C22" i="6" s="1"/>
  <c r="B21" i="6"/>
  <c r="C21" i="6" s="1"/>
  <c r="B20" i="6"/>
  <c r="C20" i="6" s="1"/>
  <c r="B19" i="6"/>
  <c r="C19" i="6" s="1"/>
  <c r="B18" i="6"/>
  <c r="C18" i="6" s="1"/>
  <c r="B17" i="6"/>
  <c r="C17" i="6" s="1"/>
  <c r="B16" i="6"/>
  <c r="C16" i="6" s="1"/>
  <c r="B15" i="6"/>
  <c r="C15" i="6" s="1"/>
  <c r="B14" i="6"/>
  <c r="C14" i="6" s="1"/>
  <c r="B13" i="6"/>
  <c r="C13" i="6" s="1"/>
  <c r="B12" i="6"/>
  <c r="C12" i="6" s="1"/>
  <c r="B11" i="6"/>
  <c r="C11" i="6" s="1"/>
  <c r="B10" i="6"/>
  <c r="C10" i="6" s="1"/>
  <c r="B9" i="6"/>
  <c r="C9" i="6" s="1"/>
  <c r="B8" i="6"/>
  <c r="C8" i="6" s="1"/>
  <c r="B7" i="6"/>
  <c r="C7" i="6" s="1"/>
  <c r="B6" i="6"/>
  <c r="C6" i="6" s="1"/>
  <c r="B5" i="6"/>
  <c r="C5" i="6" s="1"/>
  <c r="B4" i="6"/>
  <c r="C4" i="6" s="1"/>
  <c r="L52" i="7"/>
  <c r="M52" i="7" s="1"/>
  <c r="L51" i="7"/>
  <c r="M51" i="7" s="1"/>
  <c r="L50" i="7"/>
  <c r="M50" i="7" s="1"/>
  <c r="L49" i="7"/>
  <c r="M49" i="7" s="1"/>
  <c r="L48" i="7"/>
  <c r="M48" i="7" s="1"/>
  <c r="L47" i="7"/>
  <c r="M47" i="7" s="1"/>
  <c r="L46" i="7"/>
  <c r="M46" i="7" s="1"/>
  <c r="L45" i="7"/>
  <c r="M45" i="7" s="1"/>
  <c r="L44" i="7"/>
  <c r="M44" i="7" s="1"/>
  <c r="L43" i="7"/>
  <c r="M43" i="7" s="1"/>
  <c r="L42" i="7"/>
  <c r="M42" i="7" s="1"/>
  <c r="L41" i="7"/>
  <c r="M41" i="7" s="1"/>
  <c r="L40" i="7"/>
  <c r="M40" i="7" s="1"/>
  <c r="L39" i="7"/>
  <c r="M39" i="7" s="1"/>
  <c r="L38" i="7"/>
  <c r="M38" i="7" s="1"/>
  <c r="L37" i="7"/>
  <c r="M37" i="7" s="1"/>
  <c r="L36" i="7"/>
  <c r="M36" i="7" s="1"/>
  <c r="L35" i="7"/>
  <c r="M35" i="7" s="1"/>
  <c r="L34" i="7"/>
  <c r="M34" i="7" s="1"/>
  <c r="L33" i="7"/>
  <c r="M33" i="7" s="1"/>
  <c r="L32" i="7"/>
  <c r="M32" i="7" s="1"/>
  <c r="L31" i="7"/>
  <c r="M31" i="7" s="1"/>
  <c r="L30" i="7"/>
  <c r="M30" i="7" s="1"/>
  <c r="L29" i="7"/>
  <c r="M29" i="7" s="1"/>
  <c r="L28" i="7"/>
  <c r="M28" i="7" s="1"/>
  <c r="L27" i="7"/>
  <c r="M27" i="7" s="1"/>
  <c r="L26" i="7"/>
  <c r="M26" i="7" s="1"/>
  <c r="L25" i="7"/>
  <c r="M25" i="7" s="1"/>
  <c r="L24" i="7"/>
  <c r="M24" i="7" s="1"/>
  <c r="L23" i="7"/>
  <c r="M23" i="7" s="1"/>
  <c r="L22" i="7"/>
  <c r="M22" i="7" s="1"/>
  <c r="L21" i="7"/>
  <c r="M21" i="7" s="1"/>
  <c r="L20" i="7"/>
  <c r="M20" i="7" s="1"/>
  <c r="L19" i="7"/>
  <c r="M19" i="7" s="1"/>
  <c r="L18" i="7"/>
  <c r="M18" i="7" s="1"/>
  <c r="L17" i="7"/>
  <c r="M17" i="7" s="1"/>
  <c r="L16" i="7"/>
  <c r="M16" i="7" s="1"/>
  <c r="L15" i="7"/>
  <c r="M15" i="7" s="1"/>
  <c r="L14" i="7"/>
  <c r="M14" i="7" s="1"/>
  <c r="L13" i="7"/>
  <c r="M13" i="7" s="1"/>
  <c r="L12" i="7"/>
  <c r="M12" i="7" s="1"/>
  <c r="L11" i="7"/>
  <c r="M11" i="7" s="1"/>
  <c r="L10" i="7"/>
  <c r="M10" i="7" s="1"/>
  <c r="L9" i="7"/>
  <c r="M9" i="7" s="1"/>
  <c r="L8" i="7"/>
  <c r="M8" i="7" s="1"/>
  <c r="L7" i="7"/>
  <c r="M7" i="7" s="1"/>
  <c r="L6" i="7"/>
  <c r="M6" i="7" s="1"/>
  <c r="L5" i="7"/>
  <c r="M5" i="7" s="1"/>
  <c r="L4" i="7"/>
  <c r="M4" i="7" s="1"/>
  <c r="G52" i="7"/>
  <c r="H52" i="7" s="1"/>
  <c r="G51" i="7"/>
  <c r="H51" i="7" s="1"/>
  <c r="G50" i="7"/>
  <c r="H50" i="7" s="1"/>
  <c r="H49" i="7"/>
  <c r="G49" i="7"/>
  <c r="G48" i="7"/>
  <c r="H48" i="7" s="1"/>
  <c r="G47" i="7"/>
  <c r="H47" i="7" s="1"/>
  <c r="G46" i="7"/>
  <c r="H46" i="7" s="1"/>
  <c r="H45" i="7"/>
  <c r="G45" i="7"/>
  <c r="G44" i="7"/>
  <c r="H44" i="7" s="1"/>
  <c r="G43" i="7"/>
  <c r="H43" i="7" s="1"/>
  <c r="G42" i="7"/>
  <c r="H42" i="7" s="1"/>
  <c r="H41" i="7"/>
  <c r="G41" i="7"/>
  <c r="G40" i="7"/>
  <c r="H40" i="7" s="1"/>
  <c r="G39" i="7"/>
  <c r="H39" i="7" s="1"/>
  <c r="G38" i="7"/>
  <c r="H38" i="7" s="1"/>
  <c r="H37" i="7"/>
  <c r="G37" i="7"/>
  <c r="G36" i="7"/>
  <c r="H36" i="7" s="1"/>
  <c r="G35" i="7"/>
  <c r="H35" i="7" s="1"/>
  <c r="G34" i="7"/>
  <c r="H34" i="7" s="1"/>
  <c r="H33" i="7"/>
  <c r="G33" i="7"/>
  <c r="G32" i="7"/>
  <c r="H32" i="7" s="1"/>
  <c r="G31" i="7"/>
  <c r="H31" i="7" s="1"/>
  <c r="G30" i="7"/>
  <c r="H30" i="7" s="1"/>
  <c r="H29" i="7"/>
  <c r="G29" i="7"/>
  <c r="G28" i="7"/>
  <c r="H28" i="7" s="1"/>
  <c r="G27" i="7"/>
  <c r="H27" i="7" s="1"/>
  <c r="G26" i="7"/>
  <c r="H26" i="7" s="1"/>
  <c r="H25" i="7"/>
  <c r="G25" i="7"/>
  <c r="G24" i="7"/>
  <c r="H24" i="7" s="1"/>
  <c r="G23" i="7"/>
  <c r="H23" i="7" s="1"/>
  <c r="G22" i="7"/>
  <c r="H22" i="7" s="1"/>
  <c r="H21" i="7"/>
  <c r="G21" i="7"/>
  <c r="G20" i="7"/>
  <c r="H20" i="7" s="1"/>
  <c r="G19" i="7"/>
  <c r="H19" i="7" s="1"/>
  <c r="G18" i="7"/>
  <c r="H18" i="7" s="1"/>
  <c r="H17" i="7"/>
  <c r="G17" i="7"/>
  <c r="G16" i="7"/>
  <c r="H16" i="7" s="1"/>
  <c r="G15" i="7"/>
  <c r="H15" i="7" s="1"/>
  <c r="G14" i="7"/>
  <c r="H14" i="7" s="1"/>
  <c r="H13" i="7"/>
  <c r="G13" i="7"/>
  <c r="G12" i="7"/>
  <c r="H12" i="7" s="1"/>
  <c r="G11" i="7"/>
  <c r="H11" i="7" s="1"/>
  <c r="G10" i="7"/>
  <c r="H10" i="7" s="1"/>
  <c r="H9" i="7"/>
  <c r="G9" i="7"/>
  <c r="G8" i="7"/>
  <c r="H8" i="7" s="1"/>
  <c r="G7" i="7"/>
  <c r="H7" i="7" s="1"/>
  <c r="G6" i="7"/>
  <c r="H6" i="7" s="1"/>
  <c r="H5" i="7"/>
  <c r="G5" i="7"/>
  <c r="G4" i="7"/>
  <c r="H4" i="7" s="1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4" i="7"/>
  <c r="AB4" i="7"/>
  <c r="AC4" i="7" s="1"/>
  <c r="W4" i="7"/>
  <c r="X4" i="7" s="1"/>
  <c r="R4" i="7"/>
  <c r="S4" i="7" s="1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4" i="7"/>
  <c r="AA5" i="7"/>
  <c r="AB5" i="7" s="1"/>
  <c r="AC5" i="7" s="1"/>
  <c r="V5" i="7"/>
  <c r="V6" i="7" s="1"/>
  <c r="W6" i="7" s="1"/>
  <c r="X6" i="7" s="1"/>
  <c r="Q5" i="7"/>
  <c r="R5" i="7" s="1"/>
  <c r="S5" i="7" s="1"/>
  <c r="A6" i="7"/>
  <c r="A7" i="7" s="1"/>
  <c r="A8" i="7" s="1"/>
  <c r="K5" i="7"/>
  <c r="K6" i="7" s="1"/>
  <c r="F5" i="7"/>
  <c r="A5" i="7"/>
  <c r="AB5" i="6"/>
  <c r="W5" i="6"/>
  <c r="W6" i="6" s="1"/>
  <c r="W7" i="6" s="1"/>
  <c r="R5" i="6"/>
  <c r="R6" i="6" s="1"/>
  <c r="A7" i="6"/>
  <c r="A8" i="6" s="1"/>
  <c r="A6" i="6"/>
  <c r="K5" i="6"/>
  <c r="K6" i="6" s="1"/>
  <c r="F5" i="6"/>
  <c r="F6" i="6" s="1"/>
  <c r="A5" i="6"/>
  <c r="AA5" i="5"/>
  <c r="V5" i="5"/>
  <c r="V6" i="5" s="1"/>
  <c r="V7" i="5" s="1"/>
  <c r="Q5" i="5"/>
  <c r="Q6" i="5" s="1"/>
  <c r="A7" i="5"/>
  <c r="A8" i="5" s="1"/>
  <c r="A6" i="5"/>
  <c r="K5" i="5"/>
  <c r="K6" i="5" s="1"/>
  <c r="F5" i="5"/>
  <c r="F6" i="5" s="1"/>
  <c r="A5" i="5"/>
  <c r="AA5" i="4"/>
  <c r="V5" i="4"/>
  <c r="Q5" i="4"/>
  <c r="Q6" i="4" s="1"/>
  <c r="A7" i="4"/>
  <c r="A8" i="4" s="1"/>
  <c r="A9" i="4" s="1"/>
  <c r="A6" i="4"/>
  <c r="K5" i="4"/>
  <c r="K6" i="4" s="1"/>
  <c r="K7" i="4" s="1"/>
  <c r="F5" i="4"/>
  <c r="F6" i="4" s="1"/>
  <c r="A5" i="4"/>
  <c r="AA5" i="3"/>
  <c r="V5" i="3"/>
  <c r="V6" i="3" s="1"/>
  <c r="Q5" i="3"/>
  <c r="K8" i="3"/>
  <c r="K9" i="3" s="1"/>
  <c r="K10" i="3" s="1"/>
  <c r="K11" i="3" s="1"/>
  <c r="A6" i="3"/>
  <c r="A7" i="3" s="1"/>
  <c r="A8" i="3" s="1"/>
  <c r="A9" i="3" s="1"/>
  <c r="K5" i="3"/>
  <c r="K6" i="3" s="1"/>
  <c r="K7" i="3" s="1"/>
  <c r="F5" i="3"/>
  <c r="F6" i="3" s="1"/>
  <c r="A5" i="3"/>
  <c r="AA5" i="1"/>
  <c r="V5" i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Q5" i="1"/>
  <c r="K5" i="1"/>
  <c r="F5" i="1"/>
  <c r="A5" i="1"/>
  <c r="A6" i="1" s="1"/>
  <c r="AC6" i="2"/>
  <c r="AC7" i="2" s="1"/>
  <c r="AC8" i="2" s="1"/>
  <c r="X6" i="2"/>
  <c r="X7" i="2" s="1"/>
  <c r="X8" i="2" s="1"/>
  <c r="R6" i="2"/>
  <c r="R7" i="2" s="1"/>
  <c r="L6" i="2"/>
  <c r="L7" i="2" s="1"/>
  <c r="L8" i="2" s="1"/>
  <c r="G6" i="2"/>
  <c r="G7" i="2" s="1"/>
  <c r="A6" i="2"/>
  <c r="A7" i="2" s="1"/>
  <c r="C7" i="2" s="1"/>
  <c r="D7" i="2" s="1"/>
  <c r="C6" i="2" l="1"/>
  <c r="D6" i="2" s="1"/>
  <c r="H6" i="2"/>
  <c r="I6" i="2" s="1"/>
  <c r="B6" i="2"/>
  <c r="S6" i="2"/>
  <c r="Y6" i="2"/>
  <c r="Z6" i="2" s="1"/>
  <c r="Y7" i="2"/>
  <c r="Z7" i="2" s="1"/>
  <c r="AD6" i="2"/>
  <c r="AE6" i="2" s="1"/>
  <c r="AD7" i="2"/>
  <c r="AE7" i="2" s="1"/>
  <c r="M6" i="2"/>
  <c r="N6" i="2" s="1"/>
  <c r="L9" i="2"/>
  <c r="M8" i="2"/>
  <c r="N8" i="2" s="1"/>
  <c r="M7" i="2"/>
  <c r="N7" i="2" s="1"/>
  <c r="A8" i="2"/>
  <c r="C8" i="2" s="1"/>
  <c r="D8" i="2" s="1"/>
  <c r="B7" i="2"/>
  <c r="G8" i="2"/>
  <c r="H7" i="2"/>
  <c r="I7" i="2" s="1"/>
  <c r="X9" i="2"/>
  <c r="Y8" i="2"/>
  <c r="Z8" i="2" s="1"/>
  <c r="R8" i="2"/>
  <c r="S7" i="2"/>
  <c r="AC9" i="2"/>
  <c r="AD8" i="2"/>
  <c r="AE8" i="2" s="1"/>
  <c r="AA6" i="1"/>
  <c r="AA7" i="1" s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Q6" i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7" i="4"/>
  <c r="V6" i="4"/>
  <c r="V7" i="4" s="1"/>
  <c r="F7" i="5"/>
  <c r="F8" i="5" s="1"/>
  <c r="AA6" i="5"/>
  <c r="AA7" i="5" s="1"/>
  <c r="AA8" i="5" s="1"/>
  <c r="F7" i="6"/>
  <c r="F8" i="6" s="1"/>
  <c r="AB6" i="6"/>
  <c r="AB7" i="6" s="1"/>
  <c r="AB8" i="6" s="1"/>
  <c r="AB9" i="6" s="1"/>
  <c r="W5" i="7"/>
  <c r="X5" i="7" s="1"/>
  <c r="F6" i="7"/>
  <c r="K7" i="7"/>
  <c r="Q6" i="7"/>
  <c r="R6" i="7" s="1"/>
  <c r="S6" i="7" s="1"/>
  <c r="AA6" i="7"/>
  <c r="AB6" i="7" s="1"/>
  <c r="AC6" i="7" s="1"/>
  <c r="K8" i="7"/>
  <c r="A9" i="7"/>
  <c r="V7" i="7"/>
  <c r="W7" i="7" s="1"/>
  <c r="X7" i="7" s="1"/>
  <c r="F9" i="6"/>
  <c r="A9" i="6"/>
  <c r="R7" i="6"/>
  <c r="K7" i="6"/>
  <c r="W8" i="6"/>
  <c r="F9" i="5"/>
  <c r="K7" i="5"/>
  <c r="A9" i="5"/>
  <c r="V8" i="5"/>
  <c r="Q7" i="5"/>
  <c r="F7" i="4"/>
  <c r="V8" i="4"/>
  <c r="AA6" i="4"/>
  <c r="K8" i="4"/>
  <c r="A10" i="4"/>
  <c r="Q8" i="4"/>
  <c r="V7" i="3"/>
  <c r="Q6" i="3"/>
  <c r="F7" i="3"/>
  <c r="A10" i="3"/>
  <c r="K12" i="3"/>
  <c r="AA6" i="3"/>
  <c r="A7" i="1"/>
  <c r="F6" i="1"/>
  <c r="K6" i="1"/>
  <c r="G9" i="2" l="1"/>
  <c r="H8" i="2"/>
  <c r="I8" i="2" s="1"/>
  <c r="A9" i="2"/>
  <c r="C9" i="2" s="1"/>
  <c r="D9" i="2" s="1"/>
  <c r="B8" i="2"/>
  <c r="L10" i="2"/>
  <c r="M9" i="2"/>
  <c r="N9" i="2" s="1"/>
  <c r="R9" i="2"/>
  <c r="S8" i="2"/>
  <c r="X10" i="2"/>
  <c r="Y9" i="2"/>
  <c r="Z9" i="2" s="1"/>
  <c r="AC10" i="2"/>
  <c r="AD9" i="2"/>
  <c r="AE9" i="2" s="1"/>
  <c r="AA9" i="5"/>
  <c r="F7" i="7"/>
  <c r="Q7" i="7"/>
  <c r="R7" i="7" s="1"/>
  <c r="S7" i="7" s="1"/>
  <c r="A10" i="7"/>
  <c r="V8" i="7"/>
  <c r="W8" i="7" s="1"/>
  <c r="X8" i="7" s="1"/>
  <c r="K9" i="7"/>
  <c r="AA7" i="7"/>
  <c r="AB7" i="7" s="1"/>
  <c r="AC7" i="7" s="1"/>
  <c r="AB10" i="6"/>
  <c r="K8" i="6"/>
  <c r="A10" i="6"/>
  <c r="W9" i="6"/>
  <c r="R8" i="6"/>
  <c r="F10" i="6"/>
  <c r="K8" i="5"/>
  <c r="V9" i="5"/>
  <c r="A10" i="5"/>
  <c r="Q8" i="5"/>
  <c r="F10" i="5"/>
  <c r="Q9" i="4"/>
  <c r="V9" i="4"/>
  <c r="F8" i="4"/>
  <c r="K9" i="4"/>
  <c r="AA7" i="4"/>
  <c r="A11" i="4"/>
  <c r="F8" i="3"/>
  <c r="AA7" i="3"/>
  <c r="Q7" i="3"/>
  <c r="K13" i="3"/>
  <c r="A11" i="3"/>
  <c r="V8" i="3"/>
  <c r="K7" i="1"/>
  <c r="A8" i="1"/>
  <c r="F7" i="1"/>
  <c r="X11" i="2" l="1"/>
  <c r="Y10" i="2"/>
  <c r="Z10" i="2" s="1"/>
  <c r="R10" i="2"/>
  <c r="S9" i="2"/>
  <c r="L11" i="2"/>
  <c r="M10" i="2"/>
  <c r="N10" i="2" s="1"/>
  <c r="A10" i="2"/>
  <c r="C10" i="2" s="1"/>
  <c r="D10" i="2" s="1"/>
  <c r="B9" i="2"/>
  <c r="AC11" i="2"/>
  <c r="AD10" i="2"/>
  <c r="AE10" i="2" s="1"/>
  <c r="G10" i="2"/>
  <c r="H9" i="2"/>
  <c r="I9" i="2" s="1"/>
  <c r="AA10" i="5"/>
  <c r="Q8" i="7"/>
  <c r="R8" i="7" s="1"/>
  <c r="S8" i="7" s="1"/>
  <c r="F8" i="7"/>
  <c r="K10" i="7"/>
  <c r="A11" i="7"/>
  <c r="V9" i="7"/>
  <c r="W9" i="7" s="1"/>
  <c r="X9" i="7" s="1"/>
  <c r="AA8" i="7"/>
  <c r="AB8" i="7" s="1"/>
  <c r="AC8" i="7" s="1"/>
  <c r="A11" i="6"/>
  <c r="AB11" i="6"/>
  <c r="W10" i="6"/>
  <c r="K9" i="6"/>
  <c r="F11" i="6"/>
  <c r="R9" i="6"/>
  <c r="AA11" i="5"/>
  <c r="K9" i="5"/>
  <c r="A11" i="5"/>
  <c r="V10" i="5"/>
  <c r="F11" i="5"/>
  <c r="Q9" i="5"/>
  <c r="K10" i="4"/>
  <c r="F9" i="4"/>
  <c r="V10" i="4"/>
  <c r="A12" i="4"/>
  <c r="AA8" i="4"/>
  <c r="Q10" i="4"/>
  <c r="K14" i="3"/>
  <c r="Q8" i="3"/>
  <c r="V9" i="3"/>
  <c r="AA8" i="3"/>
  <c r="A12" i="3"/>
  <c r="F9" i="3"/>
  <c r="F8" i="1"/>
  <c r="A9" i="1"/>
  <c r="K8" i="1"/>
  <c r="X12" i="2" l="1"/>
  <c r="Y11" i="2"/>
  <c r="Z11" i="2" s="1"/>
  <c r="G11" i="2"/>
  <c r="H10" i="2"/>
  <c r="I10" i="2" s="1"/>
  <c r="AC12" i="2"/>
  <c r="AD11" i="2"/>
  <c r="AE11" i="2" s="1"/>
  <c r="A11" i="2"/>
  <c r="C11" i="2" s="1"/>
  <c r="D11" i="2" s="1"/>
  <c r="B10" i="2"/>
  <c r="L12" i="2"/>
  <c r="M11" i="2"/>
  <c r="N11" i="2" s="1"/>
  <c r="R11" i="2"/>
  <c r="S10" i="2"/>
  <c r="F9" i="7"/>
  <c r="Q9" i="7"/>
  <c r="R9" i="7" s="1"/>
  <c r="S9" i="7" s="1"/>
  <c r="V10" i="7"/>
  <c r="W10" i="7" s="1"/>
  <c r="X10" i="7" s="1"/>
  <c r="A12" i="7"/>
  <c r="AA9" i="7"/>
  <c r="AB9" i="7" s="1"/>
  <c r="AC9" i="7" s="1"/>
  <c r="K11" i="7"/>
  <c r="R10" i="6"/>
  <c r="K10" i="6"/>
  <c r="AB12" i="6"/>
  <c r="F12" i="6"/>
  <c r="W11" i="6"/>
  <c r="A12" i="6"/>
  <c r="K10" i="5"/>
  <c r="V11" i="5"/>
  <c r="F12" i="5"/>
  <c r="A12" i="5"/>
  <c r="Q10" i="5"/>
  <c r="AA12" i="5"/>
  <c r="A13" i="4"/>
  <c r="V11" i="4"/>
  <c r="Q11" i="4"/>
  <c r="F10" i="4"/>
  <c r="AA9" i="4"/>
  <c r="K11" i="4"/>
  <c r="V10" i="3"/>
  <c r="AA9" i="3"/>
  <c r="Q9" i="3"/>
  <c r="F10" i="3"/>
  <c r="A13" i="3"/>
  <c r="K15" i="3"/>
  <c r="K9" i="1"/>
  <c r="A10" i="1"/>
  <c r="F9" i="1"/>
  <c r="X13" i="2" l="1"/>
  <c r="Y12" i="2"/>
  <c r="Z12" i="2" s="1"/>
  <c r="R12" i="2"/>
  <c r="S11" i="2"/>
  <c r="L13" i="2"/>
  <c r="M12" i="2"/>
  <c r="N12" i="2" s="1"/>
  <c r="A12" i="2"/>
  <c r="C12" i="2" s="1"/>
  <c r="D12" i="2" s="1"/>
  <c r="B11" i="2"/>
  <c r="AC13" i="2"/>
  <c r="AD12" i="2"/>
  <c r="AE12" i="2" s="1"/>
  <c r="G12" i="2"/>
  <c r="H11" i="2"/>
  <c r="I11" i="2" s="1"/>
  <c r="Q10" i="7"/>
  <c r="R10" i="7" s="1"/>
  <c r="S10" i="7" s="1"/>
  <c r="F10" i="7"/>
  <c r="K12" i="7"/>
  <c r="A13" i="7"/>
  <c r="AA10" i="7"/>
  <c r="AB10" i="7" s="1"/>
  <c r="AC10" i="7" s="1"/>
  <c r="V11" i="7"/>
  <c r="W11" i="7" s="1"/>
  <c r="X11" i="7" s="1"/>
  <c r="F13" i="6"/>
  <c r="AB13" i="6"/>
  <c r="A13" i="6"/>
  <c r="K11" i="6"/>
  <c r="W12" i="6"/>
  <c r="R11" i="6"/>
  <c r="V12" i="5"/>
  <c r="A13" i="5"/>
  <c r="F13" i="5"/>
  <c r="AA13" i="5"/>
  <c r="Q11" i="5"/>
  <c r="K11" i="5"/>
  <c r="F11" i="4"/>
  <c r="Q12" i="4"/>
  <c r="K12" i="4"/>
  <c r="V12" i="4"/>
  <c r="AA10" i="4"/>
  <c r="A14" i="4"/>
  <c r="F11" i="3"/>
  <c r="Q10" i="3"/>
  <c r="AA10" i="3"/>
  <c r="K16" i="3"/>
  <c r="A14" i="3"/>
  <c r="V11" i="3"/>
  <c r="F10" i="1"/>
  <c r="A11" i="1"/>
  <c r="K10" i="1"/>
  <c r="X14" i="2" l="1"/>
  <c r="Y13" i="2"/>
  <c r="Z13" i="2" s="1"/>
  <c r="G13" i="2"/>
  <c r="H12" i="2"/>
  <c r="I12" i="2" s="1"/>
  <c r="AC14" i="2"/>
  <c r="AD13" i="2"/>
  <c r="AE13" i="2" s="1"/>
  <c r="A13" i="2"/>
  <c r="C13" i="2" s="1"/>
  <c r="D13" i="2" s="1"/>
  <c r="B12" i="2"/>
  <c r="L14" i="2"/>
  <c r="M13" i="2"/>
  <c r="N13" i="2" s="1"/>
  <c r="R13" i="2"/>
  <c r="S12" i="2"/>
  <c r="F11" i="7"/>
  <c r="Q11" i="7"/>
  <c r="R11" i="7" s="1"/>
  <c r="S11" i="7" s="1"/>
  <c r="A14" i="7"/>
  <c r="AA11" i="7"/>
  <c r="AB11" i="7" s="1"/>
  <c r="AC11" i="7" s="1"/>
  <c r="K13" i="7"/>
  <c r="V12" i="7"/>
  <c r="W12" i="7" s="1"/>
  <c r="X12" i="7" s="1"/>
  <c r="K12" i="6"/>
  <c r="A14" i="6"/>
  <c r="R12" i="6"/>
  <c r="AB14" i="6"/>
  <c r="W13" i="6"/>
  <c r="F14" i="6"/>
  <c r="AA14" i="5"/>
  <c r="F14" i="5"/>
  <c r="K12" i="5"/>
  <c r="A14" i="5"/>
  <c r="Q12" i="5"/>
  <c r="V13" i="5"/>
  <c r="V13" i="4"/>
  <c r="K13" i="4"/>
  <c r="F12" i="4"/>
  <c r="A15" i="4"/>
  <c r="Q13" i="4"/>
  <c r="AA11" i="4"/>
  <c r="K17" i="3"/>
  <c r="AA11" i="3"/>
  <c r="V12" i="3"/>
  <c r="Q11" i="3"/>
  <c r="A15" i="3"/>
  <c r="F12" i="3"/>
  <c r="K11" i="1"/>
  <c r="A12" i="1"/>
  <c r="F11" i="1"/>
  <c r="X15" i="2" l="1"/>
  <c r="Y14" i="2"/>
  <c r="Z14" i="2" s="1"/>
  <c r="R14" i="2"/>
  <c r="S13" i="2"/>
  <c r="L15" i="2"/>
  <c r="M14" i="2"/>
  <c r="N14" i="2" s="1"/>
  <c r="A14" i="2"/>
  <c r="C14" i="2" s="1"/>
  <c r="D14" i="2" s="1"/>
  <c r="B13" i="2"/>
  <c r="AC15" i="2"/>
  <c r="AD14" i="2"/>
  <c r="AE14" i="2" s="1"/>
  <c r="G14" i="2"/>
  <c r="H13" i="2"/>
  <c r="I13" i="2" s="1"/>
  <c r="Q12" i="7"/>
  <c r="R12" i="7" s="1"/>
  <c r="S12" i="7" s="1"/>
  <c r="F12" i="7"/>
  <c r="AA12" i="7"/>
  <c r="AB12" i="7" s="1"/>
  <c r="AC12" i="7" s="1"/>
  <c r="K14" i="7"/>
  <c r="A15" i="7"/>
  <c r="V13" i="7"/>
  <c r="W13" i="7" s="1"/>
  <c r="X13" i="7" s="1"/>
  <c r="AB15" i="6"/>
  <c r="R13" i="6"/>
  <c r="A15" i="6"/>
  <c r="W14" i="6"/>
  <c r="K13" i="6"/>
  <c r="F15" i="6"/>
  <c r="A15" i="5"/>
  <c r="K13" i="5"/>
  <c r="V14" i="5"/>
  <c r="F15" i="5"/>
  <c r="Q13" i="5"/>
  <c r="AA15" i="5"/>
  <c r="Q14" i="4"/>
  <c r="V14" i="4"/>
  <c r="A16" i="4"/>
  <c r="F13" i="4"/>
  <c r="AA12" i="4"/>
  <c r="K14" i="4"/>
  <c r="Q12" i="3"/>
  <c r="V13" i="3"/>
  <c r="F13" i="3"/>
  <c r="AA12" i="3"/>
  <c r="A16" i="3"/>
  <c r="K18" i="3"/>
  <c r="F12" i="1"/>
  <c r="A13" i="1"/>
  <c r="K12" i="1"/>
  <c r="X16" i="2" l="1"/>
  <c r="Y15" i="2"/>
  <c r="Z15" i="2" s="1"/>
  <c r="G15" i="2"/>
  <c r="H14" i="2"/>
  <c r="I14" i="2" s="1"/>
  <c r="AC16" i="2"/>
  <c r="AD15" i="2"/>
  <c r="AE15" i="2" s="1"/>
  <c r="A15" i="2"/>
  <c r="C15" i="2" s="1"/>
  <c r="D15" i="2" s="1"/>
  <c r="B14" i="2"/>
  <c r="L16" i="2"/>
  <c r="M15" i="2"/>
  <c r="N15" i="2" s="1"/>
  <c r="R15" i="2"/>
  <c r="S14" i="2"/>
  <c r="Q13" i="7"/>
  <c r="R13" i="7" s="1"/>
  <c r="S13" i="7" s="1"/>
  <c r="F13" i="7"/>
  <c r="K15" i="7"/>
  <c r="V14" i="7"/>
  <c r="W14" i="7" s="1"/>
  <c r="X14" i="7" s="1"/>
  <c r="A16" i="7"/>
  <c r="AA13" i="7"/>
  <c r="AB13" i="7" s="1"/>
  <c r="AC13" i="7" s="1"/>
  <c r="W15" i="6"/>
  <c r="A16" i="6"/>
  <c r="F16" i="6"/>
  <c r="R14" i="6"/>
  <c r="K14" i="6"/>
  <c r="AB16" i="6"/>
  <c r="F16" i="5"/>
  <c r="V15" i="5"/>
  <c r="AA16" i="5"/>
  <c r="K14" i="5"/>
  <c r="Q14" i="5"/>
  <c r="A16" i="5"/>
  <c r="A17" i="4"/>
  <c r="F14" i="4"/>
  <c r="V15" i="4"/>
  <c r="K15" i="4"/>
  <c r="AA13" i="4"/>
  <c r="Q15" i="4"/>
  <c r="AA13" i="3"/>
  <c r="F14" i="3"/>
  <c r="V14" i="3"/>
  <c r="K19" i="3"/>
  <c r="Q13" i="3"/>
  <c r="A17" i="3"/>
  <c r="K13" i="1"/>
  <c r="A14" i="1"/>
  <c r="F13" i="1"/>
  <c r="R16" i="2" l="1"/>
  <c r="S15" i="2"/>
  <c r="A16" i="2"/>
  <c r="C16" i="2" s="1"/>
  <c r="D16" i="2" s="1"/>
  <c r="B15" i="2"/>
  <c r="L17" i="2"/>
  <c r="M16" i="2"/>
  <c r="N16" i="2" s="1"/>
  <c r="AC17" i="2"/>
  <c r="AD16" i="2"/>
  <c r="AE16" i="2" s="1"/>
  <c r="G16" i="2"/>
  <c r="H15" i="2"/>
  <c r="I15" i="2" s="1"/>
  <c r="X17" i="2"/>
  <c r="Y16" i="2"/>
  <c r="Z16" i="2" s="1"/>
  <c r="F14" i="7"/>
  <c r="Q14" i="7"/>
  <c r="R14" i="7" s="1"/>
  <c r="S14" i="7" s="1"/>
  <c r="V15" i="7"/>
  <c r="W15" i="7" s="1"/>
  <c r="X15" i="7" s="1"/>
  <c r="K16" i="7"/>
  <c r="A17" i="7"/>
  <c r="AA14" i="7"/>
  <c r="AB14" i="7" s="1"/>
  <c r="AC14" i="7" s="1"/>
  <c r="R15" i="6"/>
  <c r="F17" i="6"/>
  <c r="AB17" i="6"/>
  <c r="A17" i="6"/>
  <c r="K15" i="6"/>
  <c r="W16" i="6"/>
  <c r="K15" i="5"/>
  <c r="AA17" i="5"/>
  <c r="A17" i="5"/>
  <c r="V16" i="5"/>
  <c r="Q15" i="5"/>
  <c r="F17" i="5"/>
  <c r="K16" i="4"/>
  <c r="V16" i="4"/>
  <c r="Q16" i="4"/>
  <c r="F15" i="4"/>
  <c r="AA14" i="4"/>
  <c r="A18" i="4"/>
  <c r="K20" i="3"/>
  <c r="V15" i="3"/>
  <c r="A18" i="3"/>
  <c r="F15" i="3"/>
  <c r="AA14" i="3"/>
  <c r="Q14" i="3"/>
  <c r="F14" i="1"/>
  <c r="A15" i="1"/>
  <c r="K14" i="1"/>
  <c r="X18" i="2" l="1"/>
  <c r="Y17" i="2"/>
  <c r="Z17" i="2" s="1"/>
  <c r="G17" i="2"/>
  <c r="H16" i="2"/>
  <c r="I16" i="2" s="1"/>
  <c r="AC18" i="2"/>
  <c r="AD17" i="2"/>
  <c r="AE17" i="2" s="1"/>
  <c r="L18" i="2"/>
  <c r="M17" i="2"/>
  <c r="N17" i="2" s="1"/>
  <c r="A17" i="2"/>
  <c r="C17" i="2" s="1"/>
  <c r="D17" i="2" s="1"/>
  <c r="B16" i="2"/>
  <c r="R17" i="2"/>
  <c r="S16" i="2"/>
  <c r="Q15" i="7"/>
  <c r="R15" i="7" s="1"/>
  <c r="S15" i="7" s="1"/>
  <c r="F15" i="7"/>
  <c r="K17" i="7"/>
  <c r="A18" i="7"/>
  <c r="AA15" i="7"/>
  <c r="AB15" i="7" s="1"/>
  <c r="AC15" i="7" s="1"/>
  <c r="V16" i="7"/>
  <c r="W16" i="7" s="1"/>
  <c r="X16" i="7" s="1"/>
  <c r="AB18" i="6"/>
  <c r="W17" i="6"/>
  <c r="R16" i="6"/>
  <c r="A18" i="6"/>
  <c r="F18" i="6"/>
  <c r="K16" i="6"/>
  <c r="V17" i="5"/>
  <c r="A18" i="5"/>
  <c r="AA18" i="5"/>
  <c r="F18" i="5"/>
  <c r="Q16" i="5"/>
  <c r="K16" i="5"/>
  <c r="V17" i="4"/>
  <c r="AA15" i="4"/>
  <c r="K17" i="4"/>
  <c r="F16" i="4"/>
  <c r="Q17" i="4"/>
  <c r="A19" i="4"/>
  <c r="F16" i="3"/>
  <c r="A19" i="3"/>
  <c r="Q15" i="3"/>
  <c r="V16" i="3"/>
  <c r="AA15" i="3"/>
  <c r="K21" i="3"/>
  <c r="K15" i="1"/>
  <c r="A16" i="1"/>
  <c r="F15" i="1"/>
  <c r="X19" i="2" l="1"/>
  <c r="Y18" i="2"/>
  <c r="Z18" i="2" s="1"/>
  <c r="R18" i="2"/>
  <c r="S17" i="2"/>
  <c r="A18" i="2"/>
  <c r="C18" i="2" s="1"/>
  <c r="D18" i="2" s="1"/>
  <c r="B17" i="2"/>
  <c r="L19" i="2"/>
  <c r="M18" i="2"/>
  <c r="N18" i="2" s="1"/>
  <c r="AC19" i="2"/>
  <c r="AD18" i="2"/>
  <c r="AE18" i="2" s="1"/>
  <c r="G18" i="2"/>
  <c r="H17" i="2"/>
  <c r="I17" i="2" s="1"/>
  <c r="Q16" i="7"/>
  <c r="R16" i="7" s="1"/>
  <c r="S16" i="7" s="1"/>
  <c r="F16" i="7"/>
  <c r="A19" i="7"/>
  <c r="AA16" i="7"/>
  <c r="AB16" i="7" s="1"/>
  <c r="AC16" i="7" s="1"/>
  <c r="V17" i="7"/>
  <c r="W17" i="7" s="1"/>
  <c r="X17" i="7" s="1"/>
  <c r="K18" i="7"/>
  <c r="A19" i="6"/>
  <c r="AB19" i="6"/>
  <c r="R17" i="6"/>
  <c r="K17" i="6"/>
  <c r="W18" i="6"/>
  <c r="F19" i="6"/>
  <c r="F19" i="5"/>
  <c r="AA19" i="5"/>
  <c r="K17" i="5"/>
  <c r="A19" i="5"/>
  <c r="Q17" i="5"/>
  <c r="V18" i="5"/>
  <c r="F17" i="4"/>
  <c r="K18" i="4"/>
  <c r="AA16" i="4"/>
  <c r="A20" i="4"/>
  <c r="Q18" i="4"/>
  <c r="V18" i="4"/>
  <c r="V17" i="3"/>
  <c r="Q16" i="3"/>
  <c r="K22" i="3"/>
  <c r="A20" i="3"/>
  <c r="AA16" i="3"/>
  <c r="F17" i="3"/>
  <c r="F16" i="1"/>
  <c r="A17" i="1"/>
  <c r="K16" i="1"/>
  <c r="X20" i="2" l="1"/>
  <c r="Y19" i="2"/>
  <c r="Z19" i="2" s="1"/>
  <c r="G19" i="2"/>
  <c r="H18" i="2"/>
  <c r="I18" i="2" s="1"/>
  <c r="AC20" i="2"/>
  <c r="AD19" i="2"/>
  <c r="AE19" i="2" s="1"/>
  <c r="L20" i="2"/>
  <c r="M19" i="2"/>
  <c r="N19" i="2" s="1"/>
  <c r="A19" i="2"/>
  <c r="C19" i="2" s="1"/>
  <c r="D19" i="2" s="1"/>
  <c r="B18" i="2"/>
  <c r="R19" i="2"/>
  <c r="S18" i="2"/>
  <c r="F17" i="7"/>
  <c r="Q17" i="7"/>
  <c r="R17" i="7" s="1"/>
  <c r="S17" i="7" s="1"/>
  <c r="A20" i="7"/>
  <c r="V18" i="7"/>
  <c r="W18" i="7" s="1"/>
  <c r="X18" i="7" s="1"/>
  <c r="AA17" i="7"/>
  <c r="AB17" i="7" s="1"/>
  <c r="AC17" i="7" s="1"/>
  <c r="K19" i="7"/>
  <c r="R18" i="6"/>
  <c r="K18" i="6"/>
  <c r="F20" i="6"/>
  <c r="AB20" i="6"/>
  <c r="W19" i="6"/>
  <c r="A20" i="6"/>
  <c r="A20" i="5"/>
  <c r="K18" i="5"/>
  <c r="V19" i="5"/>
  <c r="AA20" i="5"/>
  <c r="F20" i="5"/>
  <c r="Q18" i="5"/>
  <c r="A21" i="4"/>
  <c r="AA17" i="4"/>
  <c r="V19" i="4"/>
  <c r="K19" i="4"/>
  <c r="Q19" i="4"/>
  <c r="F18" i="4"/>
  <c r="A21" i="3"/>
  <c r="K23" i="3"/>
  <c r="Q17" i="3"/>
  <c r="F18" i="3"/>
  <c r="V18" i="3"/>
  <c r="AA17" i="3"/>
  <c r="K17" i="1"/>
  <c r="A18" i="1"/>
  <c r="F17" i="1"/>
  <c r="X21" i="2" l="1"/>
  <c r="Y20" i="2"/>
  <c r="Z20" i="2" s="1"/>
  <c r="R20" i="2"/>
  <c r="S19" i="2"/>
  <c r="A20" i="2"/>
  <c r="C20" i="2" s="1"/>
  <c r="D20" i="2" s="1"/>
  <c r="B19" i="2"/>
  <c r="L21" i="2"/>
  <c r="M20" i="2"/>
  <c r="N20" i="2" s="1"/>
  <c r="AC21" i="2"/>
  <c r="AD20" i="2"/>
  <c r="AE20" i="2" s="1"/>
  <c r="G20" i="2"/>
  <c r="H19" i="2"/>
  <c r="I19" i="2" s="1"/>
  <c r="Q18" i="7"/>
  <c r="R18" i="7" s="1"/>
  <c r="S18" i="7" s="1"/>
  <c r="F18" i="7"/>
  <c r="AA18" i="7"/>
  <c r="AB18" i="7" s="1"/>
  <c r="AC18" i="7" s="1"/>
  <c r="V19" i="7"/>
  <c r="W19" i="7" s="1"/>
  <c r="X19" i="7" s="1"/>
  <c r="K20" i="7"/>
  <c r="A21" i="7"/>
  <c r="K19" i="6"/>
  <c r="AB21" i="6"/>
  <c r="F21" i="6"/>
  <c r="A21" i="6"/>
  <c r="W20" i="6"/>
  <c r="R19" i="6"/>
  <c r="AA21" i="5"/>
  <c r="Q19" i="5"/>
  <c r="V20" i="5"/>
  <c r="K19" i="5"/>
  <c r="F21" i="5"/>
  <c r="A21" i="5"/>
  <c r="K20" i="4"/>
  <c r="Q20" i="4"/>
  <c r="V20" i="4"/>
  <c r="AA18" i="4"/>
  <c r="F19" i="4"/>
  <c r="A22" i="4"/>
  <c r="F19" i="3"/>
  <c r="Q18" i="3"/>
  <c r="AA18" i="3"/>
  <c r="K24" i="3"/>
  <c r="V19" i="3"/>
  <c r="A22" i="3"/>
  <c r="F18" i="1"/>
  <c r="A19" i="1"/>
  <c r="K18" i="1"/>
  <c r="X22" i="2" l="1"/>
  <c r="Y21" i="2"/>
  <c r="Z21" i="2" s="1"/>
  <c r="G21" i="2"/>
  <c r="H20" i="2"/>
  <c r="I20" i="2" s="1"/>
  <c r="AC22" i="2"/>
  <c r="AD21" i="2"/>
  <c r="AE21" i="2" s="1"/>
  <c r="L22" i="2"/>
  <c r="M21" i="2"/>
  <c r="N21" i="2" s="1"/>
  <c r="A21" i="2"/>
  <c r="C21" i="2" s="1"/>
  <c r="D21" i="2" s="1"/>
  <c r="B20" i="2"/>
  <c r="R21" i="2"/>
  <c r="S20" i="2"/>
  <c r="F19" i="7"/>
  <c r="Q19" i="7"/>
  <c r="R19" i="7" s="1"/>
  <c r="S19" i="7" s="1"/>
  <c r="V20" i="7"/>
  <c r="W20" i="7" s="1"/>
  <c r="X20" i="7" s="1"/>
  <c r="AA19" i="7"/>
  <c r="AB19" i="7" s="1"/>
  <c r="AC19" i="7" s="1"/>
  <c r="K21" i="7"/>
  <c r="A22" i="7"/>
  <c r="A22" i="6"/>
  <c r="F22" i="6"/>
  <c r="R20" i="6"/>
  <c r="AB22" i="6"/>
  <c r="W21" i="6"/>
  <c r="K20" i="6"/>
  <c r="K20" i="5"/>
  <c r="V21" i="5"/>
  <c r="Q20" i="5"/>
  <c r="A22" i="5"/>
  <c r="AA22" i="5"/>
  <c r="F22" i="5"/>
  <c r="AA19" i="4"/>
  <c r="V21" i="4"/>
  <c r="A23" i="4"/>
  <c r="Q21" i="4"/>
  <c r="F20" i="4"/>
  <c r="K21" i="4"/>
  <c r="K25" i="3"/>
  <c r="AA19" i="3"/>
  <c r="A23" i="3"/>
  <c r="Q19" i="3"/>
  <c r="F20" i="3"/>
  <c r="V20" i="3"/>
  <c r="K19" i="1"/>
  <c r="A20" i="1"/>
  <c r="F19" i="1"/>
  <c r="X23" i="2" l="1"/>
  <c r="Y22" i="2"/>
  <c r="Z22" i="2" s="1"/>
  <c r="R22" i="2"/>
  <c r="S21" i="2"/>
  <c r="A22" i="2"/>
  <c r="C22" i="2" s="1"/>
  <c r="D22" i="2" s="1"/>
  <c r="B21" i="2"/>
  <c r="L23" i="2"/>
  <c r="M22" i="2"/>
  <c r="N22" i="2" s="1"/>
  <c r="AC23" i="2"/>
  <c r="AD22" i="2"/>
  <c r="AE22" i="2" s="1"/>
  <c r="G22" i="2"/>
  <c r="H21" i="2"/>
  <c r="I21" i="2" s="1"/>
  <c r="Q20" i="7"/>
  <c r="R20" i="7" s="1"/>
  <c r="S20" i="7" s="1"/>
  <c r="F20" i="7"/>
  <c r="AA20" i="7"/>
  <c r="AB20" i="7" s="1"/>
  <c r="AC20" i="7" s="1"/>
  <c r="A23" i="7"/>
  <c r="V21" i="7"/>
  <c r="W21" i="7" s="1"/>
  <c r="X21" i="7" s="1"/>
  <c r="K22" i="7"/>
  <c r="AB23" i="6"/>
  <c r="A23" i="6"/>
  <c r="R21" i="6"/>
  <c r="K21" i="6"/>
  <c r="F23" i="6"/>
  <c r="W22" i="6"/>
  <c r="Q21" i="5"/>
  <c r="V22" i="5"/>
  <c r="AA23" i="5"/>
  <c r="K21" i="5"/>
  <c r="A23" i="5"/>
  <c r="F23" i="5"/>
  <c r="Q22" i="4"/>
  <c r="A24" i="4"/>
  <c r="AA20" i="4"/>
  <c r="V22" i="4"/>
  <c r="K22" i="4"/>
  <c r="F21" i="4"/>
  <c r="Q20" i="3"/>
  <c r="A24" i="3"/>
  <c r="V21" i="3"/>
  <c r="AA20" i="3"/>
  <c r="F21" i="3"/>
  <c r="K26" i="3"/>
  <c r="F20" i="1"/>
  <c r="A21" i="1"/>
  <c r="K20" i="1"/>
  <c r="X24" i="2" l="1"/>
  <c r="Y23" i="2"/>
  <c r="Z23" i="2" s="1"/>
  <c r="G23" i="2"/>
  <c r="H22" i="2"/>
  <c r="I22" i="2" s="1"/>
  <c r="AC24" i="2"/>
  <c r="AD23" i="2"/>
  <c r="AE23" i="2" s="1"/>
  <c r="L24" i="2"/>
  <c r="M23" i="2"/>
  <c r="N23" i="2" s="1"/>
  <c r="A23" i="2"/>
  <c r="C23" i="2" s="1"/>
  <c r="D23" i="2" s="1"/>
  <c r="B22" i="2"/>
  <c r="R23" i="2"/>
  <c r="S22" i="2"/>
  <c r="F21" i="7"/>
  <c r="Q21" i="7"/>
  <c r="R21" i="7" s="1"/>
  <c r="S21" i="7" s="1"/>
  <c r="AA21" i="7"/>
  <c r="AB21" i="7" s="1"/>
  <c r="AC21" i="7" s="1"/>
  <c r="A24" i="7"/>
  <c r="V22" i="7"/>
  <c r="W22" i="7" s="1"/>
  <c r="X22" i="7" s="1"/>
  <c r="K23" i="7"/>
  <c r="K22" i="6"/>
  <c r="R22" i="6"/>
  <c r="W23" i="6"/>
  <c r="A24" i="6"/>
  <c r="F24" i="6"/>
  <c r="AB24" i="6"/>
  <c r="K22" i="5"/>
  <c r="AA24" i="5"/>
  <c r="F24" i="5"/>
  <c r="V23" i="5"/>
  <c r="A24" i="5"/>
  <c r="Q22" i="5"/>
  <c r="V23" i="4"/>
  <c r="AA21" i="4"/>
  <c r="F22" i="4"/>
  <c r="A25" i="4"/>
  <c r="K23" i="4"/>
  <c r="Q23" i="4"/>
  <c r="AA21" i="3"/>
  <c r="V22" i="3"/>
  <c r="K27" i="3"/>
  <c r="A25" i="3"/>
  <c r="Q21" i="3"/>
  <c r="F22" i="3"/>
  <c r="K21" i="1"/>
  <c r="A22" i="1"/>
  <c r="F21" i="1"/>
  <c r="X25" i="2" l="1"/>
  <c r="Y24" i="2"/>
  <c r="Z24" i="2" s="1"/>
  <c r="R24" i="2"/>
  <c r="S23" i="2"/>
  <c r="A24" i="2"/>
  <c r="C24" i="2" s="1"/>
  <c r="D24" i="2" s="1"/>
  <c r="B23" i="2"/>
  <c r="L25" i="2"/>
  <c r="M24" i="2"/>
  <c r="N24" i="2" s="1"/>
  <c r="AC25" i="2"/>
  <c r="AD24" i="2"/>
  <c r="AE24" i="2" s="1"/>
  <c r="G24" i="2"/>
  <c r="H23" i="2"/>
  <c r="I23" i="2" s="1"/>
  <c r="Q22" i="7"/>
  <c r="R22" i="7" s="1"/>
  <c r="S22" i="7" s="1"/>
  <c r="F22" i="7"/>
  <c r="V23" i="7"/>
  <c r="W23" i="7" s="1"/>
  <c r="X23" i="7" s="1"/>
  <c r="A25" i="7"/>
  <c r="K24" i="7"/>
  <c r="AA22" i="7"/>
  <c r="AB22" i="7" s="1"/>
  <c r="AC22" i="7" s="1"/>
  <c r="A25" i="6"/>
  <c r="W24" i="6"/>
  <c r="AB25" i="6"/>
  <c r="R23" i="6"/>
  <c r="F25" i="6"/>
  <c r="K23" i="6"/>
  <c r="V24" i="5"/>
  <c r="F25" i="5"/>
  <c r="Q23" i="5"/>
  <c r="AA25" i="5"/>
  <c r="A25" i="5"/>
  <c r="K23" i="5"/>
  <c r="A26" i="4"/>
  <c r="F23" i="4"/>
  <c r="Q24" i="4"/>
  <c r="AA22" i="4"/>
  <c r="K24" i="4"/>
  <c r="V24" i="4"/>
  <c r="A26" i="3"/>
  <c r="K28" i="3"/>
  <c r="F23" i="3"/>
  <c r="V23" i="3"/>
  <c r="AA22" i="3"/>
  <c r="Q22" i="3"/>
  <c r="F22" i="1"/>
  <c r="A23" i="1"/>
  <c r="K22" i="1"/>
  <c r="X26" i="2" l="1"/>
  <c r="Y25" i="2"/>
  <c r="Z25" i="2" s="1"/>
  <c r="G25" i="2"/>
  <c r="H24" i="2"/>
  <c r="I24" i="2" s="1"/>
  <c r="AC26" i="2"/>
  <c r="AD25" i="2"/>
  <c r="AE25" i="2" s="1"/>
  <c r="L26" i="2"/>
  <c r="M25" i="2"/>
  <c r="N25" i="2" s="1"/>
  <c r="A25" i="2"/>
  <c r="C25" i="2" s="1"/>
  <c r="D25" i="2" s="1"/>
  <c r="B24" i="2"/>
  <c r="R25" i="2"/>
  <c r="S24" i="2"/>
  <c r="F23" i="7"/>
  <c r="Q23" i="7"/>
  <c r="R23" i="7" s="1"/>
  <c r="S23" i="7" s="1"/>
  <c r="A26" i="7"/>
  <c r="AA23" i="7"/>
  <c r="AB23" i="7" s="1"/>
  <c r="AC23" i="7" s="1"/>
  <c r="V24" i="7"/>
  <c r="W24" i="7" s="1"/>
  <c r="X24" i="7" s="1"/>
  <c r="K25" i="7"/>
  <c r="R24" i="6"/>
  <c r="AB26" i="6"/>
  <c r="W25" i="6"/>
  <c r="K24" i="6"/>
  <c r="F26" i="6"/>
  <c r="A26" i="6"/>
  <c r="AA26" i="5"/>
  <c r="Q24" i="5"/>
  <c r="K24" i="5"/>
  <c r="F26" i="5"/>
  <c r="V25" i="5"/>
  <c r="A26" i="5"/>
  <c r="AA23" i="4"/>
  <c r="Q25" i="4"/>
  <c r="V25" i="4"/>
  <c r="F24" i="4"/>
  <c r="K25" i="4"/>
  <c r="A27" i="4"/>
  <c r="V24" i="3"/>
  <c r="F24" i="3"/>
  <c r="K29" i="3"/>
  <c r="Q23" i="3"/>
  <c r="AA23" i="3"/>
  <c r="A27" i="3"/>
  <c r="K23" i="1"/>
  <c r="A24" i="1"/>
  <c r="F23" i="1"/>
  <c r="R26" i="2" l="1"/>
  <c r="S25" i="2"/>
  <c r="A26" i="2"/>
  <c r="C26" i="2" s="1"/>
  <c r="D26" i="2" s="1"/>
  <c r="B25" i="2"/>
  <c r="AC27" i="2"/>
  <c r="AD26" i="2"/>
  <c r="AE26" i="2" s="1"/>
  <c r="L27" i="2"/>
  <c r="M26" i="2"/>
  <c r="N26" i="2" s="1"/>
  <c r="G26" i="2"/>
  <c r="H25" i="2"/>
  <c r="I25" i="2" s="1"/>
  <c r="X27" i="2"/>
  <c r="Y26" i="2"/>
  <c r="Z26" i="2" s="1"/>
  <c r="Q24" i="7"/>
  <c r="R24" i="7" s="1"/>
  <c r="S24" i="7" s="1"/>
  <c r="F24" i="7"/>
  <c r="V25" i="7"/>
  <c r="W25" i="7" s="1"/>
  <c r="X25" i="7" s="1"/>
  <c r="AA24" i="7"/>
  <c r="AB24" i="7" s="1"/>
  <c r="AC24" i="7" s="1"/>
  <c r="A27" i="7"/>
  <c r="K26" i="7"/>
  <c r="K25" i="6"/>
  <c r="W26" i="6"/>
  <c r="AB27" i="6"/>
  <c r="R25" i="6"/>
  <c r="A27" i="6"/>
  <c r="F27" i="6"/>
  <c r="F27" i="5"/>
  <c r="K25" i="5"/>
  <c r="A27" i="5"/>
  <c r="Q25" i="5"/>
  <c r="V26" i="5"/>
  <c r="AA27" i="5"/>
  <c r="Q26" i="4"/>
  <c r="A28" i="4"/>
  <c r="F25" i="4"/>
  <c r="V26" i="4"/>
  <c r="AA24" i="4"/>
  <c r="K26" i="4"/>
  <c r="Q24" i="3"/>
  <c r="K30" i="3"/>
  <c r="A28" i="3"/>
  <c r="F25" i="3"/>
  <c r="V25" i="3"/>
  <c r="AA24" i="3"/>
  <c r="F24" i="1"/>
  <c r="A25" i="1"/>
  <c r="K24" i="1"/>
  <c r="R27" i="2" l="1"/>
  <c r="S26" i="2"/>
  <c r="X28" i="2"/>
  <c r="Y27" i="2"/>
  <c r="Z27" i="2" s="1"/>
  <c r="G27" i="2"/>
  <c r="H26" i="2"/>
  <c r="I26" i="2" s="1"/>
  <c r="L28" i="2"/>
  <c r="M27" i="2"/>
  <c r="N27" i="2" s="1"/>
  <c r="AC28" i="2"/>
  <c r="AD27" i="2"/>
  <c r="AE27" i="2" s="1"/>
  <c r="A27" i="2"/>
  <c r="C27" i="2" s="1"/>
  <c r="D27" i="2" s="1"/>
  <c r="B26" i="2"/>
  <c r="Q25" i="7"/>
  <c r="R25" i="7" s="1"/>
  <c r="S25" i="7" s="1"/>
  <c r="F25" i="7"/>
  <c r="K27" i="7"/>
  <c r="AA25" i="7"/>
  <c r="AB25" i="7" s="1"/>
  <c r="AC25" i="7" s="1"/>
  <c r="V26" i="7"/>
  <c r="W26" i="7" s="1"/>
  <c r="X26" i="7" s="1"/>
  <c r="A28" i="7"/>
  <c r="AB28" i="6"/>
  <c r="R26" i="6"/>
  <c r="F28" i="6"/>
  <c r="W27" i="6"/>
  <c r="A28" i="6"/>
  <c r="K26" i="6"/>
  <c r="Q26" i="5"/>
  <c r="A28" i="5"/>
  <c r="AA28" i="5"/>
  <c r="K26" i="5"/>
  <c r="F28" i="5"/>
  <c r="V27" i="5"/>
  <c r="V27" i="4"/>
  <c r="K27" i="4"/>
  <c r="F26" i="4"/>
  <c r="A29" i="4"/>
  <c r="AA25" i="4"/>
  <c r="Q27" i="4"/>
  <c r="F26" i="3"/>
  <c r="A29" i="3"/>
  <c r="AA25" i="3"/>
  <c r="K31" i="3"/>
  <c r="V26" i="3"/>
  <c r="Q25" i="3"/>
  <c r="K25" i="1"/>
  <c r="A26" i="1"/>
  <c r="F25" i="1"/>
  <c r="A28" i="2" l="1"/>
  <c r="C28" i="2" s="1"/>
  <c r="D28" i="2" s="1"/>
  <c r="B27" i="2"/>
  <c r="AC29" i="2"/>
  <c r="AD28" i="2"/>
  <c r="AE28" i="2" s="1"/>
  <c r="L29" i="2"/>
  <c r="M28" i="2"/>
  <c r="N28" i="2" s="1"/>
  <c r="G28" i="2"/>
  <c r="H27" i="2"/>
  <c r="I27" i="2" s="1"/>
  <c r="X29" i="2"/>
  <c r="Y28" i="2"/>
  <c r="Z28" i="2" s="1"/>
  <c r="R28" i="2"/>
  <c r="S27" i="2"/>
  <c r="F26" i="7"/>
  <c r="Q26" i="7"/>
  <c r="R26" i="7" s="1"/>
  <c r="S26" i="7" s="1"/>
  <c r="AA26" i="7"/>
  <c r="AB26" i="7" s="1"/>
  <c r="AC26" i="7" s="1"/>
  <c r="K28" i="7"/>
  <c r="A29" i="7"/>
  <c r="V27" i="7"/>
  <c r="W27" i="7" s="1"/>
  <c r="X27" i="7" s="1"/>
  <c r="W28" i="6"/>
  <c r="F29" i="6"/>
  <c r="K27" i="6"/>
  <c r="R27" i="6"/>
  <c r="A29" i="6"/>
  <c r="AB29" i="6"/>
  <c r="K27" i="5"/>
  <c r="A29" i="5"/>
  <c r="AA29" i="5"/>
  <c r="V28" i="5"/>
  <c r="F29" i="5"/>
  <c r="Q27" i="5"/>
  <c r="K28" i="4"/>
  <c r="A30" i="4"/>
  <c r="F27" i="4"/>
  <c r="Q28" i="4"/>
  <c r="AA26" i="4"/>
  <c r="V28" i="4"/>
  <c r="K32" i="3"/>
  <c r="AA26" i="3"/>
  <c r="Q26" i="3"/>
  <c r="A30" i="3"/>
  <c r="V27" i="3"/>
  <c r="F27" i="3"/>
  <c r="F26" i="1"/>
  <c r="A27" i="1"/>
  <c r="K26" i="1"/>
  <c r="R29" i="2" l="1"/>
  <c r="S28" i="2"/>
  <c r="X30" i="2"/>
  <c r="Y29" i="2"/>
  <c r="Z29" i="2" s="1"/>
  <c r="L30" i="2"/>
  <c r="M29" i="2"/>
  <c r="N29" i="2" s="1"/>
  <c r="G29" i="2"/>
  <c r="H28" i="2"/>
  <c r="I28" i="2" s="1"/>
  <c r="AC30" i="2"/>
  <c r="AD29" i="2"/>
  <c r="AE29" i="2" s="1"/>
  <c r="A29" i="2"/>
  <c r="C29" i="2" s="1"/>
  <c r="D29" i="2" s="1"/>
  <c r="B28" i="2"/>
  <c r="F27" i="7"/>
  <c r="Q27" i="7"/>
  <c r="R27" i="7" s="1"/>
  <c r="S27" i="7" s="1"/>
  <c r="K29" i="7"/>
  <c r="AA27" i="7"/>
  <c r="AB27" i="7" s="1"/>
  <c r="AC27" i="7" s="1"/>
  <c r="A30" i="7"/>
  <c r="V28" i="7"/>
  <c r="W28" i="7" s="1"/>
  <c r="X28" i="7" s="1"/>
  <c r="R28" i="6"/>
  <c r="K28" i="6"/>
  <c r="AB30" i="6"/>
  <c r="W29" i="6"/>
  <c r="F30" i="6"/>
  <c r="A30" i="6"/>
  <c r="V29" i="5"/>
  <c r="A30" i="5"/>
  <c r="AA30" i="5"/>
  <c r="Q28" i="5"/>
  <c r="F30" i="5"/>
  <c r="K28" i="5"/>
  <c r="Q29" i="4"/>
  <c r="F28" i="4"/>
  <c r="V29" i="4"/>
  <c r="A31" i="4"/>
  <c r="AA27" i="4"/>
  <c r="K29" i="4"/>
  <c r="A31" i="3"/>
  <c r="Q27" i="3"/>
  <c r="F28" i="3"/>
  <c r="AA27" i="3"/>
  <c r="K33" i="3"/>
  <c r="V28" i="3"/>
  <c r="K27" i="1"/>
  <c r="A28" i="1"/>
  <c r="F27" i="1"/>
  <c r="A30" i="2" l="1"/>
  <c r="C30" i="2" s="1"/>
  <c r="D30" i="2" s="1"/>
  <c r="B29" i="2"/>
  <c r="G30" i="2"/>
  <c r="H29" i="2"/>
  <c r="I29" i="2" s="1"/>
  <c r="L31" i="2"/>
  <c r="M30" i="2"/>
  <c r="N30" i="2" s="1"/>
  <c r="AC31" i="2"/>
  <c r="AD30" i="2"/>
  <c r="AE30" i="2" s="1"/>
  <c r="X31" i="2"/>
  <c r="Y30" i="2"/>
  <c r="Z30" i="2" s="1"/>
  <c r="R30" i="2"/>
  <c r="S29" i="2"/>
  <c r="Q28" i="7"/>
  <c r="R28" i="7" s="1"/>
  <c r="S28" i="7" s="1"/>
  <c r="F28" i="7"/>
  <c r="AA28" i="7"/>
  <c r="AB28" i="7" s="1"/>
  <c r="AC28" i="7" s="1"/>
  <c r="V29" i="7"/>
  <c r="W29" i="7" s="1"/>
  <c r="X29" i="7" s="1"/>
  <c r="K30" i="7"/>
  <c r="A31" i="7"/>
  <c r="R29" i="6"/>
  <c r="W30" i="6"/>
  <c r="AB31" i="6"/>
  <c r="A31" i="6"/>
  <c r="K29" i="6"/>
  <c r="F31" i="6"/>
  <c r="Q29" i="5"/>
  <c r="K29" i="5"/>
  <c r="V30" i="5"/>
  <c r="AA31" i="5"/>
  <c r="A31" i="5"/>
  <c r="F31" i="5"/>
  <c r="V30" i="4"/>
  <c r="A32" i="4"/>
  <c r="K30" i="4"/>
  <c r="F29" i="4"/>
  <c r="AA28" i="4"/>
  <c r="Q30" i="4"/>
  <c r="AA28" i="3"/>
  <c r="F29" i="3"/>
  <c r="V29" i="3"/>
  <c r="Q28" i="3"/>
  <c r="K34" i="3"/>
  <c r="A32" i="3"/>
  <c r="F28" i="1"/>
  <c r="A29" i="1"/>
  <c r="K28" i="1"/>
  <c r="A31" i="2" l="1"/>
  <c r="C31" i="2" s="1"/>
  <c r="D31" i="2" s="1"/>
  <c r="B30" i="2"/>
  <c r="R31" i="2"/>
  <c r="S30" i="2"/>
  <c r="X32" i="2"/>
  <c r="Y31" i="2"/>
  <c r="Z31" i="2" s="1"/>
  <c r="AC32" i="2"/>
  <c r="AD31" i="2"/>
  <c r="AE31" i="2" s="1"/>
  <c r="L32" i="2"/>
  <c r="M31" i="2"/>
  <c r="N31" i="2" s="1"/>
  <c r="G31" i="2"/>
  <c r="H30" i="2"/>
  <c r="I30" i="2" s="1"/>
  <c r="Q29" i="7"/>
  <c r="R29" i="7" s="1"/>
  <c r="S29" i="7" s="1"/>
  <c r="F29" i="7"/>
  <c r="K31" i="7"/>
  <c r="V30" i="7"/>
  <c r="W30" i="7" s="1"/>
  <c r="X30" i="7" s="1"/>
  <c r="A32" i="7"/>
  <c r="AA29" i="7"/>
  <c r="AB29" i="7" s="1"/>
  <c r="AC29" i="7" s="1"/>
  <c r="A32" i="6"/>
  <c r="AB32" i="6"/>
  <c r="F32" i="6"/>
  <c r="W31" i="6"/>
  <c r="R30" i="6"/>
  <c r="K30" i="6"/>
  <c r="AA32" i="5"/>
  <c r="V31" i="5"/>
  <c r="F32" i="5"/>
  <c r="K30" i="5"/>
  <c r="A32" i="5"/>
  <c r="Q30" i="5"/>
  <c r="F30" i="4"/>
  <c r="K31" i="4"/>
  <c r="Q31" i="4"/>
  <c r="A33" i="4"/>
  <c r="V31" i="4"/>
  <c r="AA29" i="4"/>
  <c r="Q29" i="3"/>
  <c r="V30" i="3"/>
  <c r="A33" i="3"/>
  <c r="F30" i="3"/>
  <c r="K35" i="3"/>
  <c r="AA29" i="3"/>
  <c r="K29" i="1"/>
  <c r="A30" i="1"/>
  <c r="F29" i="1"/>
  <c r="G32" i="2" l="1"/>
  <c r="H31" i="2"/>
  <c r="I31" i="2" s="1"/>
  <c r="L33" i="2"/>
  <c r="M32" i="2"/>
  <c r="N32" i="2" s="1"/>
  <c r="AC33" i="2"/>
  <c r="AD32" i="2"/>
  <c r="AE32" i="2" s="1"/>
  <c r="X33" i="2"/>
  <c r="Y32" i="2"/>
  <c r="Z32" i="2" s="1"/>
  <c r="R32" i="2"/>
  <c r="S31" i="2"/>
  <c r="A32" i="2"/>
  <c r="C32" i="2" s="1"/>
  <c r="D32" i="2" s="1"/>
  <c r="B31" i="2"/>
  <c r="F30" i="7"/>
  <c r="Q30" i="7"/>
  <c r="R30" i="7" s="1"/>
  <c r="S30" i="7" s="1"/>
  <c r="V31" i="7"/>
  <c r="W31" i="7" s="1"/>
  <c r="X31" i="7" s="1"/>
  <c r="K32" i="7"/>
  <c r="AA30" i="7"/>
  <c r="AB30" i="7" s="1"/>
  <c r="AC30" i="7" s="1"/>
  <c r="A33" i="7"/>
  <c r="W32" i="6"/>
  <c r="F33" i="6"/>
  <c r="K31" i="6"/>
  <c r="AB33" i="6"/>
  <c r="R31" i="6"/>
  <c r="A33" i="6"/>
  <c r="K31" i="5"/>
  <c r="F33" i="5"/>
  <c r="Q31" i="5"/>
  <c r="V32" i="5"/>
  <c r="A33" i="5"/>
  <c r="AA33" i="5"/>
  <c r="A34" i="4"/>
  <c r="Q32" i="4"/>
  <c r="AA30" i="4"/>
  <c r="K32" i="4"/>
  <c r="V32" i="4"/>
  <c r="F31" i="4"/>
  <c r="A34" i="3"/>
  <c r="F31" i="3"/>
  <c r="AA30" i="3"/>
  <c r="V31" i="3"/>
  <c r="K36" i="3"/>
  <c r="Q30" i="3"/>
  <c r="F30" i="1"/>
  <c r="A31" i="1"/>
  <c r="K30" i="1"/>
  <c r="A33" i="2" l="1"/>
  <c r="C33" i="2" s="1"/>
  <c r="D33" i="2" s="1"/>
  <c r="B32" i="2"/>
  <c r="X34" i="2"/>
  <c r="Y33" i="2"/>
  <c r="Z33" i="2" s="1"/>
  <c r="AC34" i="2"/>
  <c r="AD33" i="2"/>
  <c r="AE33" i="2" s="1"/>
  <c r="R33" i="2"/>
  <c r="S32" i="2"/>
  <c r="L34" i="2"/>
  <c r="M33" i="2"/>
  <c r="N33" i="2" s="1"/>
  <c r="G33" i="2"/>
  <c r="H32" i="2"/>
  <c r="I32" i="2" s="1"/>
  <c r="Q31" i="7"/>
  <c r="R31" i="7" s="1"/>
  <c r="S31" i="7" s="1"/>
  <c r="F31" i="7"/>
  <c r="A34" i="7"/>
  <c r="K33" i="7"/>
  <c r="AA31" i="7"/>
  <c r="AB31" i="7" s="1"/>
  <c r="AC31" i="7" s="1"/>
  <c r="V32" i="7"/>
  <c r="W32" i="7" s="1"/>
  <c r="X32" i="7" s="1"/>
  <c r="AB34" i="6"/>
  <c r="K32" i="6"/>
  <c r="A34" i="6"/>
  <c r="F34" i="6"/>
  <c r="R32" i="6"/>
  <c r="W33" i="6"/>
  <c r="V33" i="5"/>
  <c r="Q32" i="5"/>
  <c r="AA34" i="5"/>
  <c r="F34" i="5"/>
  <c r="A34" i="5"/>
  <c r="K32" i="5"/>
  <c r="K33" i="4"/>
  <c r="AA31" i="4"/>
  <c r="F32" i="4"/>
  <c r="Q33" i="4"/>
  <c r="V33" i="4"/>
  <c r="A35" i="4"/>
  <c r="V32" i="3"/>
  <c r="AA31" i="3"/>
  <c r="F32" i="3"/>
  <c r="Q31" i="3"/>
  <c r="K37" i="3"/>
  <c r="A35" i="3"/>
  <c r="K31" i="1"/>
  <c r="A32" i="1"/>
  <c r="F31" i="1"/>
  <c r="G34" i="2" l="1"/>
  <c r="H33" i="2"/>
  <c r="I33" i="2" s="1"/>
  <c r="L35" i="2"/>
  <c r="M34" i="2"/>
  <c r="N34" i="2" s="1"/>
  <c r="R34" i="2"/>
  <c r="S33" i="2"/>
  <c r="AC35" i="2"/>
  <c r="AD34" i="2"/>
  <c r="AE34" i="2" s="1"/>
  <c r="X35" i="2"/>
  <c r="Y34" i="2"/>
  <c r="Z34" i="2" s="1"/>
  <c r="A34" i="2"/>
  <c r="C34" i="2" s="1"/>
  <c r="D34" i="2" s="1"/>
  <c r="B33" i="2"/>
  <c r="F32" i="7"/>
  <c r="Q32" i="7"/>
  <c r="R32" i="7" s="1"/>
  <c r="S32" i="7" s="1"/>
  <c r="A35" i="7"/>
  <c r="K34" i="7"/>
  <c r="V33" i="7"/>
  <c r="W33" i="7" s="1"/>
  <c r="X33" i="7" s="1"/>
  <c r="AA32" i="7"/>
  <c r="AB32" i="7" s="1"/>
  <c r="AC32" i="7" s="1"/>
  <c r="A35" i="6"/>
  <c r="F35" i="6"/>
  <c r="W34" i="6"/>
  <c r="K33" i="6"/>
  <c r="R33" i="6"/>
  <c r="AB35" i="6"/>
  <c r="F35" i="5"/>
  <c r="V34" i="5"/>
  <c r="AA35" i="5"/>
  <c r="K33" i="5"/>
  <c r="Q33" i="5"/>
  <c r="A35" i="5"/>
  <c r="Q34" i="4"/>
  <c r="F33" i="4"/>
  <c r="V34" i="4"/>
  <c r="AA32" i="4"/>
  <c r="A36" i="4"/>
  <c r="K34" i="4"/>
  <c r="Q32" i="3"/>
  <c r="F33" i="3"/>
  <c r="A36" i="3"/>
  <c r="AA32" i="3"/>
  <c r="V33" i="3"/>
  <c r="K38" i="3"/>
  <c r="F32" i="1"/>
  <c r="A33" i="1"/>
  <c r="K32" i="1"/>
  <c r="AC36" i="2" l="1"/>
  <c r="AD35" i="2"/>
  <c r="AE35" i="2" s="1"/>
  <c r="R35" i="2"/>
  <c r="S34" i="2"/>
  <c r="A35" i="2"/>
  <c r="C35" i="2" s="1"/>
  <c r="D35" i="2" s="1"/>
  <c r="B34" i="2"/>
  <c r="X36" i="2"/>
  <c r="Y35" i="2"/>
  <c r="Z35" i="2" s="1"/>
  <c r="L36" i="2"/>
  <c r="M35" i="2"/>
  <c r="N35" i="2" s="1"/>
  <c r="G35" i="2"/>
  <c r="H34" i="2"/>
  <c r="I34" i="2" s="1"/>
  <c r="F33" i="7"/>
  <c r="Q33" i="7"/>
  <c r="R33" i="7" s="1"/>
  <c r="S33" i="7" s="1"/>
  <c r="V34" i="7"/>
  <c r="W34" i="7" s="1"/>
  <c r="X34" i="7" s="1"/>
  <c r="K35" i="7"/>
  <c r="AA33" i="7"/>
  <c r="AB33" i="7" s="1"/>
  <c r="AC33" i="7" s="1"/>
  <c r="A36" i="7"/>
  <c r="K34" i="6"/>
  <c r="W35" i="6"/>
  <c r="AB36" i="6"/>
  <c r="F36" i="6"/>
  <c r="R34" i="6"/>
  <c r="A36" i="6"/>
  <c r="Q34" i="5"/>
  <c r="K34" i="5"/>
  <c r="AA36" i="5"/>
  <c r="V35" i="5"/>
  <c r="A36" i="5"/>
  <c r="F36" i="5"/>
  <c r="V35" i="4"/>
  <c r="AA33" i="4"/>
  <c r="K35" i="4"/>
  <c r="F34" i="4"/>
  <c r="A37" i="4"/>
  <c r="Q35" i="4"/>
  <c r="AA33" i="3"/>
  <c r="A37" i="3"/>
  <c r="K39" i="3"/>
  <c r="F34" i="3"/>
  <c r="V34" i="3"/>
  <c r="Q33" i="3"/>
  <c r="K33" i="1"/>
  <c r="A34" i="1"/>
  <c r="F33" i="1"/>
  <c r="G36" i="2" l="1"/>
  <c r="H35" i="2"/>
  <c r="I35" i="2" s="1"/>
  <c r="X37" i="2"/>
  <c r="Y36" i="2"/>
  <c r="Z36" i="2" s="1"/>
  <c r="A36" i="2"/>
  <c r="C36" i="2" s="1"/>
  <c r="D36" i="2" s="1"/>
  <c r="B35" i="2"/>
  <c r="L37" i="2"/>
  <c r="M36" i="2"/>
  <c r="N36" i="2" s="1"/>
  <c r="R36" i="2"/>
  <c r="S35" i="2"/>
  <c r="AC37" i="2"/>
  <c r="AD36" i="2"/>
  <c r="AE36" i="2" s="1"/>
  <c r="F34" i="7"/>
  <c r="Q34" i="7"/>
  <c r="R34" i="7" s="1"/>
  <c r="S34" i="7" s="1"/>
  <c r="K36" i="7"/>
  <c r="A37" i="7"/>
  <c r="AA34" i="7"/>
  <c r="AB34" i="7" s="1"/>
  <c r="AC34" i="7" s="1"/>
  <c r="V35" i="7"/>
  <c r="W35" i="7" s="1"/>
  <c r="X35" i="7" s="1"/>
  <c r="F37" i="6"/>
  <c r="AB37" i="6"/>
  <c r="W36" i="6"/>
  <c r="A37" i="6"/>
  <c r="R35" i="6"/>
  <c r="K35" i="6"/>
  <c r="V36" i="5"/>
  <c r="AA37" i="5"/>
  <c r="F37" i="5"/>
  <c r="K35" i="5"/>
  <c r="A37" i="5"/>
  <c r="Q35" i="5"/>
  <c r="F35" i="4"/>
  <c r="K36" i="4"/>
  <c r="Q36" i="4"/>
  <c r="AA34" i="4"/>
  <c r="A38" i="4"/>
  <c r="V36" i="4"/>
  <c r="F35" i="3"/>
  <c r="K40" i="3"/>
  <c r="Q34" i="3"/>
  <c r="A38" i="3"/>
  <c r="V35" i="3"/>
  <c r="AA34" i="3"/>
  <c r="F34" i="1"/>
  <c r="A35" i="1"/>
  <c r="K34" i="1"/>
  <c r="AC38" i="2" l="1"/>
  <c r="AD37" i="2"/>
  <c r="AE37" i="2" s="1"/>
  <c r="R37" i="2"/>
  <c r="S36" i="2"/>
  <c r="L38" i="2"/>
  <c r="M37" i="2"/>
  <c r="N37" i="2" s="1"/>
  <c r="A37" i="2"/>
  <c r="C37" i="2" s="1"/>
  <c r="D37" i="2" s="1"/>
  <c r="B36" i="2"/>
  <c r="X38" i="2"/>
  <c r="Y37" i="2"/>
  <c r="Z37" i="2" s="1"/>
  <c r="G37" i="2"/>
  <c r="H36" i="2"/>
  <c r="I36" i="2" s="1"/>
  <c r="F35" i="7"/>
  <c r="Q35" i="7"/>
  <c r="R35" i="7" s="1"/>
  <c r="S35" i="7" s="1"/>
  <c r="A38" i="7"/>
  <c r="V36" i="7"/>
  <c r="W36" i="7" s="1"/>
  <c r="X36" i="7" s="1"/>
  <c r="AA35" i="7"/>
  <c r="AB35" i="7" s="1"/>
  <c r="AC35" i="7" s="1"/>
  <c r="K37" i="7"/>
  <c r="A38" i="6"/>
  <c r="W37" i="6"/>
  <c r="AB38" i="6"/>
  <c r="K36" i="6"/>
  <c r="R36" i="6"/>
  <c r="F38" i="6"/>
  <c r="K36" i="5"/>
  <c r="F38" i="5"/>
  <c r="Q36" i="5"/>
  <c r="AA38" i="5"/>
  <c r="V37" i="5"/>
  <c r="A38" i="5"/>
  <c r="AA35" i="4"/>
  <c r="Q37" i="4"/>
  <c r="V37" i="4"/>
  <c r="K37" i="4"/>
  <c r="A39" i="4"/>
  <c r="F36" i="4"/>
  <c r="A39" i="3"/>
  <c r="Q35" i="3"/>
  <c r="AA35" i="3"/>
  <c r="K41" i="3"/>
  <c r="F36" i="3"/>
  <c r="V36" i="3"/>
  <c r="K35" i="1"/>
  <c r="A36" i="1"/>
  <c r="F35" i="1"/>
  <c r="AC39" i="2" l="1"/>
  <c r="AD38" i="2"/>
  <c r="AE38" i="2" s="1"/>
  <c r="G38" i="2"/>
  <c r="H37" i="2"/>
  <c r="I37" i="2" s="1"/>
  <c r="X39" i="2"/>
  <c r="Y38" i="2"/>
  <c r="Z38" i="2" s="1"/>
  <c r="A38" i="2"/>
  <c r="C38" i="2" s="1"/>
  <c r="D38" i="2" s="1"/>
  <c r="B37" i="2"/>
  <c r="L39" i="2"/>
  <c r="M38" i="2"/>
  <c r="N38" i="2" s="1"/>
  <c r="R38" i="2"/>
  <c r="S37" i="2"/>
  <c r="Q36" i="7"/>
  <c r="R36" i="7" s="1"/>
  <c r="S36" i="7" s="1"/>
  <c r="F36" i="7"/>
  <c r="V37" i="7"/>
  <c r="W37" i="7" s="1"/>
  <c r="X37" i="7" s="1"/>
  <c r="K38" i="7"/>
  <c r="A39" i="7"/>
  <c r="AA36" i="7"/>
  <c r="AB36" i="7" s="1"/>
  <c r="AC36" i="7" s="1"/>
  <c r="W38" i="6"/>
  <c r="K37" i="6"/>
  <c r="AB39" i="6"/>
  <c r="R37" i="6"/>
  <c r="A39" i="6"/>
  <c r="F39" i="6"/>
  <c r="AA39" i="5"/>
  <c r="Q37" i="5"/>
  <c r="K37" i="5"/>
  <c r="A39" i="5"/>
  <c r="F39" i="5"/>
  <c r="V38" i="5"/>
  <c r="K38" i="4"/>
  <c r="V38" i="4"/>
  <c r="Q38" i="4"/>
  <c r="F37" i="4"/>
  <c r="AA36" i="4"/>
  <c r="A40" i="4"/>
  <c r="K42" i="3"/>
  <c r="AA36" i="3"/>
  <c r="V37" i="3"/>
  <c r="Q36" i="3"/>
  <c r="F37" i="3"/>
  <c r="A40" i="3"/>
  <c r="F36" i="1"/>
  <c r="A37" i="1"/>
  <c r="K36" i="1"/>
  <c r="L40" i="2" l="1"/>
  <c r="M39" i="2"/>
  <c r="N39" i="2" s="1"/>
  <c r="A39" i="2"/>
  <c r="C39" i="2" s="1"/>
  <c r="D39" i="2" s="1"/>
  <c r="B38" i="2"/>
  <c r="X40" i="2"/>
  <c r="Y39" i="2"/>
  <c r="Z39" i="2" s="1"/>
  <c r="R39" i="2"/>
  <c r="S38" i="2"/>
  <c r="G39" i="2"/>
  <c r="H38" i="2"/>
  <c r="I38" i="2" s="1"/>
  <c r="AC40" i="2"/>
  <c r="AD39" i="2"/>
  <c r="AE39" i="2" s="1"/>
  <c r="Q37" i="7"/>
  <c r="R37" i="7" s="1"/>
  <c r="S37" i="7" s="1"/>
  <c r="F37" i="7"/>
  <c r="V38" i="7"/>
  <c r="W38" i="7" s="1"/>
  <c r="X38" i="7" s="1"/>
  <c r="K39" i="7"/>
  <c r="AA37" i="7"/>
  <c r="AB37" i="7" s="1"/>
  <c r="AC37" i="7" s="1"/>
  <c r="A40" i="7"/>
  <c r="AB40" i="6"/>
  <c r="F40" i="6"/>
  <c r="A40" i="6"/>
  <c r="W39" i="6"/>
  <c r="R38" i="6"/>
  <c r="K38" i="6"/>
  <c r="A40" i="5"/>
  <c r="K38" i="5"/>
  <c r="V39" i="5"/>
  <c r="Q38" i="5"/>
  <c r="F40" i="5"/>
  <c r="AA40" i="5"/>
  <c r="F38" i="4"/>
  <c r="Q39" i="4"/>
  <c r="V39" i="4"/>
  <c r="A41" i="4"/>
  <c r="AA37" i="4"/>
  <c r="K39" i="4"/>
  <c r="Q37" i="3"/>
  <c r="V38" i="3"/>
  <c r="A41" i="3"/>
  <c r="AA37" i="3"/>
  <c r="F38" i="3"/>
  <c r="K43" i="3"/>
  <c r="K37" i="1"/>
  <c r="A38" i="1"/>
  <c r="F37" i="1"/>
  <c r="AC41" i="2" l="1"/>
  <c r="AD40" i="2"/>
  <c r="AE40" i="2" s="1"/>
  <c r="R40" i="2"/>
  <c r="S39" i="2"/>
  <c r="X41" i="2"/>
  <c r="Y40" i="2"/>
  <c r="Z40" i="2" s="1"/>
  <c r="G40" i="2"/>
  <c r="H39" i="2"/>
  <c r="I39" i="2" s="1"/>
  <c r="A40" i="2"/>
  <c r="C40" i="2" s="1"/>
  <c r="D40" i="2" s="1"/>
  <c r="B39" i="2"/>
  <c r="L41" i="2"/>
  <c r="M40" i="2"/>
  <c r="N40" i="2" s="1"/>
  <c r="Q38" i="7"/>
  <c r="R38" i="7" s="1"/>
  <c r="S38" i="7" s="1"/>
  <c r="F38" i="7"/>
  <c r="A41" i="7"/>
  <c r="K40" i="7"/>
  <c r="AA38" i="7"/>
  <c r="AB38" i="7" s="1"/>
  <c r="AC38" i="7" s="1"/>
  <c r="V39" i="7"/>
  <c r="W39" i="7" s="1"/>
  <c r="X39" i="7" s="1"/>
  <c r="W40" i="6"/>
  <c r="A41" i="6"/>
  <c r="F41" i="6"/>
  <c r="K39" i="6"/>
  <c r="R39" i="6"/>
  <c r="AB41" i="6"/>
  <c r="AA41" i="5"/>
  <c r="K39" i="5"/>
  <c r="V40" i="5"/>
  <c r="Q39" i="5"/>
  <c r="F41" i="5"/>
  <c r="A41" i="5"/>
  <c r="V40" i="4"/>
  <c r="Q40" i="4"/>
  <c r="K40" i="4"/>
  <c r="A42" i="4"/>
  <c r="AA38" i="4"/>
  <c r="F39" i="4"/>
  <c r="AA38" i="3"/>
  <c r="A42" i="3"/>
  <c r="K44" i="3"/>
  <c r="V39" i="3"/>
  <c r="F39" i="3"/>
  <c r="Q38" i="3"/>
  <c r="F38" i="1"/>
  <c r="A39" i="1"/>
  <c r="K38" i="1"/>
  <c r="L42" i="2" l="1"/>
  <c r="M41" i="2"/>
  <c r="N41" i="2" s="1"/>
  <c r="A41" i="2"/>
  <c r="C41" i="2" s="1"/>
  <c r="D41" i="2" s="1"/>
  <c r="B40" i="2"/>
  <c r="G41" i="2"/>
  <c r="H40" i="2"/>
  <c r="I40" i="2" s="1"/>
  <c r="X42" i="2"/>
  <c r="Y41" i="2"/>
  <c r="Z41" i="2" s="1"/>
  <c r="R41" i="2"/>
  <c r="S40" i="2"/>
  <c r="AC42" i="2"/>
  <c r="AD41" i="2"/>
  <c r="AE41" i="2" s="1"/>
  <c r="F39" i="7"/>
  <c r="Q39" i="7"/>
  <c r="R39" i="7" s="1"/>
  <c r="S39" i="7" s="1"/>
  <c r="AA39" i="7"/>
  <c r="AB39" i="7" s="1"/>
  <c r="AC39" i="7" s="1"/>
  <c r="K41" i="7"/>
  <c r="A42" i="7"/>
  <c r="V40" i="7"/>
  <c r="W40" i="7" s="1"/>
  <c r="X40" i="7" s="1"/>
  <c r="K40" i="6"/>
  <c r="A42" i="6"/>
  <c r="R40" i="6"/>
  <c r="F42" i="6"/>
  <c r="AB42" i="6"/>
  <c r="W41" i="6"/>
  <c r="Q40" i="5"/>
  <c r="V41" i="5"/>
  <c r="A42" i="5"/>
  <c r="K40" i="5"/>
  <c r="AA42" i="5"/>
  <c r="F42" i="5"/>
  <c r="A43" i="4"/>
  <c r="K41" i="4"/>
  <c r="Q41" i="4"/>
  <c r="V41" i="4"/>
  <c r="F40" i="4"/>
  <c r="AA39" i="4"/>
  <c r="V40" i="3"/>
  <c r="K45" i="3"/>
  <c r="A43" i="3"/>
  <c r="Q39" i="3"/>
  <c r="F40" i="3"/>
  <c r="AA39" i="3"/>
  <c r="K39" i="1"/>
  <c r="A40" i="1"/>
  <c r="F39" i="1"/>
  <c r="L43" i="2" l="1"/>
  <c r="M42" i="2"/>
  <c r="N42" i="2" s="1"/>
  <c r="AC43" i="2"/>
  <c r="AD42" i="2"/>
  <c r="AE42" i="2" s="1"/>
  <c r="R42" i="2"/>
  <c r="S41" i="2"/>
  <c r="X43" i="2"/>
  <c r="Y42" i="2"/>
  <c r="Z42" i="2" s="1"/>
  <c r="G42" i="2"/>
  <c r="H41" i="2"/>
  <c r="I41" i="2" s="1"/>
  <c r="A42" i="2"/>
  <c r="C42" i="2" s="1"/>
  <c r="D42" i="2" s="1"/>
  <c r="B41" i="2"/>
  <c r="F40" i="7"/>
  <c r="Q40" i="7"/>
  <c r="R40" i="7" s="1"/>
  <c r="S40" i="7" s="1"/>
  <c r="K42" i="7"/>
  <c r="V41" i="7"/>
  <c r="W41" i="7" s="1"/>
  <c r="X41" i="7" s="1"/>
  <c r="AA40" i="7"/>
  <c r="AB40" i="7" s="1"/>
  <c r="AC40" i="7" s="1"/>
  <c r="A43" i="7"/>
  <c r="F43" i="6"/>
  <c r="R41" i="6"/>
  <c r="W42" i="6"/>
  <c r="A43" i="6"/>
  <c r="AB43" i="6"/>
  <c r="K41" i="6"/>
  <c r="K41" i="5"/>
  <c r="A43" i="5"/>
  <c r="AA43" i="5"/>
  <c r="V42" i="5"/>
  <c r="F43" i="5"/>
  <c r="Q41" i="5"/>
  <c r="V42" i="4"/>
  <c r="Q42" i="4"/>
  <c r="AA40" i="4"/>
  <c r="K42" i="4"/>
  <c r="F41" i="4"/>
  <c r="A44" i="4"/>
  <c r="Q40" i="3"/>
  <c r="A44" i="3"/>
  <c r="AA40" i="3"/>
  <c r="K46" i="3"/>
  <c r="V41" i="3"/>
  <c r="F41" i="3"/>
  <c r="F40" i="1"/>
  <c r="A41" i="1"/>
  <c r="K40" i="1"/>
  <c r="L44" i="2" l="1"/>
  <c r="M43" i="2"/>
  <c r="N43" i="2" s="1"/>
  <c r="A43" i="2"/>
  <c r="C43" i="2" s="1"/>
  <c r="D43" i="2" s="1"/>
  <c r="B42" i="2"/>
  <c r="G43" i="2"/>
  <c r="H42" i="2"/>
  <c r="I42" i="2" s="1"/>
  <c r="X44" i="2"/>
  <c r="Y43" i="2"/>
  <c r="Z43" i="2" s="1"/>
  <c r="R43" i="2"/>
  <c r="S42" i="2"/>
  <c r="AC44" i="2"/>
  <c r="AD43" i="2"/>
  <c r="AE43" i="2" s="1"/>
  <c r="Q41" i="7"/>
  <c r="R41" i="7" s="1"/>
  <c r="S41" i="7" s="1"/>
  <c r="F41" i="7"/>
  <c r="AA41" i="7"/>
  <c r="AB41" i="7" s="1"/>
  <c r="AC41" i="7" s="1"/>
  <c r="V42" i="7"/>
  <c r="W42" i="7" s="1"/>
  <c r="X42" i="7" s="1"/>
  <c r="A44" i="7"/>
  <c r="K43" i="7"/>
  <c r="A44" i="6"/>
  <c r="K42" i="6"/>
  <c r="AB44" i="6"/>
  <c r="F44" i="6"/>
  <c r="W43" i="6"/>
  <c r="R42" i="6"/>
  <c r="V43" i="5"/>
  <c r="AA44" i="5"/>
  <c r="F44" i="5"/>
  <c r="Q42" i="5"/>
  <c r="A44" i="5"/>
  <c r="K42" i="5"/>
  <c r="V43" i="4"/>
  <c r="K43" i="4"/>
  <c r="AA41" i="4"/>
  <c r="A45" i="4"/>
  <c r="Q43" i="4"/>
  <c r="F42" i="4"/>
  <c r="AA41" i="3"/>
  <c r="K47" i="3"/>
  <c r="F42" i="3"/>
  <c r="A45" i="3"/>
  <c r="V42" i="3"/>
  <c r="Q41" i="3"/>
  <c r="K41" i="1"/>
  <c r="A42" i="1"/>
  <c r="F41" i="1"/>
  <c r="L45" i="2" l="1"/>
  <c r="M44" i="2"/>
  <c r="N44" i="2" s="1"/>
  <c r="AC45" i="2"/>
  <c r="AD44" i="2"/>
  <c r="AE44" i="2" s="1"/>
  <c r="R44" i="2"/>
  <c r="S43" i="2"/>
  <c r="X45" i="2"/>
  <c r="Y44" i="2"/>
  <c r="Z44" i="2" s="1"/>
  <c r="G44" i="2"/>
  <c r="H43" i="2"/>
  <c r="I43" i="2" s="1"/>
  <c r="A44" i="2"/>
  <c r="C44" i="2" s="1"/>
  <c r="D44" i="2" s="1"/>
  <c r="B43" i="2"/>
  <c r="F42" i="7"/>
  <c r="Q42" i="7"/>
  <c r="R42" i="7" s="1"/>
  <c r="S42" i="7" s="1"/>
  <c r="V43" i="7"/>
  <c r="W43" i="7" s="1"/>
  <c r="X43" i="7" s="1"/>
  <c r="AA42" i="7"/>
  <c r="AB42" i="7" s="1"/>
  <c r="AC42" i="7" s="1"/>
  <c r="K44" i="7"/>
  <c r="A45" i="7"/>
  <c r="F45" i="6"/>
  <c r="K43" i="6"/>
  <c r="AB45" i="6"/>
  <c r="R43" i="6"/>
  <c r="W44" i="6"/>
  <c r="A45" i="6"/>
  <c r="Q43" i="5"/>
  <c r="F45" i="5"/>
  <c r="K43" i="5"/>
  <c r="AA45" i="5"/>
  <c r="A45" i="5"/>
  <c r="V44" i="5"/>
  <c r="A46" i="4"/>
  <c r="AA42" i="4"/>
  <c r="F43" i="4"/>
  <c r="K44" i="4"/>
  <c r="Q44" i="4"/>
  <c r="V44" i="4"/>
  <c r="A46" i="3"/>
  <c r="F43" i="3"/>
  <c r="Q42" i="3"/>
  <c r="K48" i="3"/>
  <c r="AA42" i="3"/>
  <c r="V43" i="3"/>
  <c r="F42" i="1"/>
  <c r="A43" i="1"/>
  <c r="K42" i="1"/>
  <c r="L46" i="2" l="1"/>
  <c r="M45" i="2"/>
  <c r="N45" i="2" s="1"/>
  <c r="A45" i="2"/>
  <c r="C45" i="2" s="1"/>
  <c r="D45" i="2" s="1"/>
  <c r="B44" i="2"/>
  <c r="G45" i="2"/>
  <c r="H44" i="2"/>
  <c r="I44" i="2" s="1"/>
  <c r="X46" i="2"/>
  <c r="Y45" i="2"/>
  <c r="Z45" i="2" s="1"/>
  <c r="R45" i="2"/>
  <c r="S44" i="2"/>
  <c r="AC46" i="2"/>
  <c r="AD45" i="2"/>
  <c r="AE45" i="2" s="1"/>
  <c r="F43" i="7"/>
  <c r="Q43" i="7"/>
  <c r="R43" i="7" s="1"/>
  <c r="S43" i="7" s="1"/>
  <c r="AA43" i="7"/>
  <c r="AB43" i="7" s="1"/>
  <c r="AC43" i="7" s="1"/>
  <c r="A46" i="7"/>
  <c r="V44" i="7"/>
  <c r="W44" i="7" s="1"/>
  <c r="X44" i="7" s="1"/>
  <c r="K45" i="7"/>
  <c r="R44" i="6"/>
  <c r="AB46" i="6"/>
  <c r="A46" i="6"/>
  <c r="K44" i="6"/>
  <c r="W45" i="6"/>
  <c r="F46" i="6"/>
  <c r="F46" i="5"/>
  <c r="V45" i="5"/>
  <c r="Q44" i="5"/>
  <c r="AA46" i="5"/>
  <c r="K44" i="5"/>
  <c r="A46" i="5"/>
  <c r="K45" i="4"/>
  <c r="Q45" i="4"/>
  <c r="F44" i="4"/>
  <c r="V45" i="4"/>
  <c r="AA43" i="4"/>
  <c r="A47" i="4"/>
  <c r="K49" i="3"/>
  <c r="Q43" i="3"/>
  <c r="F44" i="3"/>
  <c r="V44" i="3"/>
  <c r="AA43" i="3"/>
  <c r="A47" i="3"/>
  <c r="K43" i="1"/>
  <c r="A44" i="1"/>
  <c r="F43" i="1"/>
  <c r="R46" i="2" l="1"/>
  <c r="S45" i="2"/>
  <c r="G46" i="2"/>
  <c r="H45" i="2"/>
  <c r="I45" i="2" s="1"/>
  <c r="AC47" i="2"/>
  <c r="AD46" i="2"/>
  <c r="AE46" i="2" s="1"/>
  <c r="X47" i="2"/>
  <c r="Y46" i="2"/>
  <c r="Z46" i="2" s="1"/>
  <c r="A46" i="2"/>
  <c r="C46" i="2" s="1"/>
  <c r="D46" i="2" s="1"/>
  <c r="B45" i="2"/>
  <c r="L47" i="2"/>
  <c r="M46" i="2"/>
  <c r="N46" i="2" s="1"/>
  <c r="F44" i="7"/>
  <c r="Q44" i="7"/>
  <c r="R44" i="7" s="1"/>
  <c r="S44" i="7" s="1"/>
  <c r="V45" i="7"/>
  <c r="W45" i="7" s="1"/>
  <c r="X45" i="7" s="1"/>
  <c r="A47" i="7"/>
  <c r="K46" i="7"/>
  <c r="AA44" i="7"/>
  <c r="AB44" i="7" s="1"/>
  <c r="AC44" i="7" s="1"/>
  <c r="K45" i="6"/>
  <c r="A47" i="6"/>
  <c r="F47" i="6"/>
  <c r="W46" i="6"/>
  <c r="R45" i="6"/>
  <c r="AB47" i="6"/>
  <c r="AA47" i="5"/>
  <c r="Q45" i="5"/>
  <c r="A47" i="5"/>
  <c r="V46" i="5"/>
  <c r="K45" i="5"/>
  <c r="F47" i="5"/>
  <c r="V46" i="4"/>
  <c r="F45" i="4"/>
  <c r="Q46" i="4"/>
  <c r="A48" i="4"/>
  <c r="AA44" i="4"/>
  <c r="K46" i="4"/>
  <c r="V45" i="3"/>
  <c r="F45" i="3"/>
  <c r="Q44" i="3"/>
  <c r="A48" i="3"/>
  <c r="AA44" i="3"/>
  <c r="K50" i="3"/>
  <c r="F44" i="1"/>
  <c r="A45" i="1"/>
  <c r="K44" i="1"/>
  <c r="R47" i="2" l="1"/>
  <c r="S46" i="2"/>
  <c r="L48" i="2"/>
  <c r="M47" i="2"/>
  <c r="N47" i="2" s="1"/>
  <c r="A47" i="2"/>
  <c r="C47" i="2" s="1"/>
  <c r="D47" i="2" s="1"/>
  <c r="B46" i="2"/>
  <c r="X48" i="2"/>
  <c r="Y47" i="2"/>
  <c r="Z47" i="2" s="1"/>
  <c r="AC48" i="2"/>
  <c r="AD47" i="2"/>
  <c r="AE47" i="2" s="1"/>
  <c r="G47" i="2"/>
  <c r="H46" i="2"/>
  <c r="I46" i="2" s="1"/>
  <c r="Q45" i="7"/>
  <c r="R45" i="7" s="1"/>
  <c r="S45" i="7" s="1"/>
  <c r="F45" i="7"/>
  <c r="A48" i="7"/>
  <c r="V46" i="7"/>
  <c r="W46" i="7" s="1"/>
  <c r="X46" i="7" s="1"/>
  <c r="AA45" i="7"/>
  <c r="AB45" i="7" s="1"/>
  <c r="AC45" i="7" s="1"/>
  <c r="K47" i="7"/>
  <c r="W47" i="6"/>
  <c r="AB48" i="6"/>
  <c r="R46" i="6"/>
  <c r="K46" i="6"/>
  <c r="F48" i="6"/>
  <c r="A48" i="6"/>
  <c r="V47" i="5"/>
  <c r="A48" i="5"/>
  <c r="F48" i="5"/>
  <c r="Q46" i="5"/>
  <c r="AA48" i="5"/>
  <c r="K46" i="5"/>
  <c r="A49" i="4"/>
  <c r="Q47" i="4"/>
  <c r="K47" i="4"/>
  <c r="F46" i="4"/>
  <c r="V47" i="4"/>
  <c r="AA45" i="4"/>
  <c r="A49" i="3"/>
  <c r="Q45" i="3"/>
  <c r="K51" i="3"/>
  <c r="F46" i="3"/>
  <c r="V46" i="3"/>
  <c r="AA45" i="3"/>
  <c r="K45" i="1"/>
  <c r="A46" i="1"/>
  <c r="F45" i="1"/>
  <c r="X49" i="2" l="1"/>
  <c r="Y48" i="2"/>
  <c r="Z48" i="2" s="1"/>
  <c r="A48" i="2"/>
  <c r="C48" i="2" s="1"/>
  <c r="D48" i="2" s="1"/>
  <c r="B47" i="2"/>
  <c r="G48" i="2"/>
  <c r="H47" i="2"/>
  <c r="I47" i="2" s="1"/>
  <c r="AC49" i="2"/>
  <c r="AD48" i="2"/>
  <c r="AE48" i="2" s="1"/>
  <c r="L49" i="2"/>
  <c r="M48" i="2"/>
  <c r="N48" i="2" s="1"/>
  <c r="R48" i="2"/>
  <c r="S47" i="2"/>
  <c r="F46" i="7"/>
  <c r="Q46" i="7"/>
  <c r="R46" i="7" s="1"/>
  <c r="S46" i="7" s="1"/>
  <c r="AA46" i="7"/>
  <c r="AB46" i="7" s="1"/>
  <c r="AC46" i="7" s="1"/>
  <c r="V47" i="7"/>
  <c r="W47" i="7" s="1"/>
  <c r="X47" i="7" s="1"/>
  <c r="K48" i="7"/>
  <c r="A49" i="7"/>
  <c r="K47" i="6"/>
  <c r="R47" i="6"/>
  <c r="A49" i="6"/>
  <c r="AB49" i="6"/>
  <c r="F49" i="6"/>
  <c r="W48" i="6"/>
  <c r="K47" i="5"/>
  <c r="A49" i="5"/>
  <c r="F49" i="5"/>
  <c r="Q47" i="5"/>
  <c r="AA49" i="5"/>
  <c r="V48" i="5"/>
  <c r="F47" i="4"/>
  <c r="K48" i="4"/>
  <c r="AA46" i="4"/>
  <c r="Q48" i="4"/>
  <c r="V48" i="4"/>
  <c r="A50" i="4"/>
  <c r="F47" i="3"/>
  <c r="K52" i="3"/>
  <c r="AA46" i="3"/>
  <c r="Q46" i="3"/>
  <c r="V47" i="3"/>
  <c r="A50" i="3"/>
  <c r="F46" i="1"/>
  <c r="A47" i="1"/>
  <c r="K46" i="1"/>
  <c r="X50" i="2" l="1"/>
  <c r="Y49" i="2"/>
  <c r="Z49" i="2" s="1"/>
  <c r="R49" i="2"/>
  <c r="S48" i="2"/>
  <c r="L50" i="2"/>
  <c r="M49" i="2"/>
  <c r="N49" i="2" s="1"/>
  <c r="AC50" i="2"/>
  <c r="AD49" i="2"/>
  <c r="AE49" i="2" s="1"/>
  <c r="G49" i="2"/>
  <c r="H48" i="2"/>
  <c r="I48" i="2" s="1"/>
  <c r="A49" i="2"/>
  <c r="C49" i="2" s="1"/>
  <c r="D49" i="2" s="1"/>
  <c r="B48" i="2"/>
  <c r="Q47" i="7"/>
  <c r="R47" i="7" s="1"/>
  <c r="S47" i="7" s="1"/>
  <c r="F47" i="7"/>
  <c r="V48" i="7"/>
  <c r="W48" i="7" s="1"/>
  <c r="X48" i="7" s="1"/>
  <c r="A50" i="7"/>
  <c r="AA47" i="7"/>
  <c r="AB47" i="7" s="1"/>
  <c r="AC47" i="7" s="1"/>
  <c r="K49" i="7"/>
  <c r="AB50" i="6"/>
  <c r="W49" i="6"/>
  <c r="A50" i="6"/>
  <c r="R48" i="6"/>
  <c r="F50" i="6"/>
  <c r="K48" i="6"/>
  <c r="Q48" i="5"/>
  <c r="F50" i="5"/>
  <c r="V49" i="5"/>
  <c r="A50" i="5"/>
  <c r="AA50" i="5"/>
  <c r="K48" i="5"/>
  <c r="Q49" i="4"/>
  <c r="AA47" i="4"/>
  <c r="A51" i="4"/>
  <c r="V49" i="4"/>
  <c r="F48" i="4"/>
  <c r="K49" i="4"/>
  <c r="Q47" i="3"/>
  <c r="AA47" i="3"/>
  <c r="A51" i="3"/>
  <c r="F48" i="3"/>
  <c r="V48" i="3"/>
  <c r="K47" i="1"/>
  <c r="A48" i="1"/>
  <c r="F47" i="1"/>
  <c r="X51" i="2" l="1"/>
  <c r="Y50" i="2"/>
  <c r="Z50" i="2" s="1"/>
  <c r="A50" i="2"/>
  <c r="C50" i="2" s="1"/>
  <c r="D50" i="2" s="1"/>
  <c r="B49" i="2"/>
  <c r="G50" i="2"/>
  <c r="H49" i="2"/>
  <c r="I49" i="2" s="1"/>
  <c r="AC51" i="2"/>
  <c r="AD50" i="2"/>
  <c r="AE50" i="2" s="1"/>
  <c r="L51" i="2"/>
  <c r="M50" i="2"/>
  <c r="N50" i="2" s="1"/>
  <c r="R50" i="2"/>
  <c r="S49" i="2"/>
  <c r="F48" i="7"/>
  <c r="Q48" i="7"/>
  <c r="R48" i="7" s="1"/>
  <c r="S48" i="7" s="1"/>
  <c r="AA48" i="7"/>
  <c r="AB48" i="7" s="1"/>
  <c r="AC48" i="7" s="1"/>
  <c r="A51" i="7"/>
  <c r="V49" i="7"/>
  <c r="W49" i="7" s="1"/>
  <c r="X49" i="7" s="1"/>
  <c r="K50" i="7"/>
  <c r="R49" i="6"/>
  <c r="A51" i="6"/>
  <c r="K49" i="6"/>
  <c r="W50" i="6"/>
  <c r="AB51" i="6"/>
  <c r="F51" i="6"/>
  <c r="AA51" i="5"/>
  <c r="Q49" i="5"/>
  <c r="A51" i="5"/>
  <c r="V50" i="5"/>
  <c r="K49" i="5"/>
  <c r="F51" i="5"/>
  <c r="V50" i="4"/>
  <c r="A52" i="4"/>
  <c r="AA48" i="4"/>
  <c r="K50" i="4"/>
  <c r="Q50" i="4"/>
  <c r="F49" i="4"/>
  <c r="F49" i="3"/>
  <c r="A52" i="3"/>
  <c r="AA48" i="3"/>
  <c r="V49" i="3"/>
  <c r="Q48" i="3"/>
  <c r="F48" i="1"/>
  <c r="A49" i="1"/>
  <c r="K48" i="1"/>
  <c r="R51" i="2" l="1"/>
  <c r="S50" i="2"/>
  <c r="L52" i="2"/>
  <c r="M51" i="2"/>
  <c r="N51" i="2" s="1"/>
  <c r="G51" i="2"/>
  <c r="H50" i="2"/>
  <c r="I50" i="2" s="1"/>
  <c r="AC52" i="2"/>
  <c r="AD51" i="2"/>
  <c r="AE51" i="2" s="1"/>
  <c r="A51" i="2"/>
  <c r="C51" i="2" s="1"/>
  <c r="D51" i="2" s="1"/>
  <c r="B50" i="2"/>
  <c r="X52" i="2"/>
  <c r="Y51" i="2"/>
  <c r="Z51" i="2" s="1"/>
  <c r="Q49" i="7"/>
  <c r="R49" i="7" s="1"/>
  <c r="S49" i="7" s="1"/>
  <c r="F49" i="7"/>
  <c r="V50" i="7"/>
  <c r="W50" i="7" s="1"/>
  <c r="X50" i="7" s="1"/>
  <c r="A52" i="7"/>
  <c r="K51" i="7"/>
  <c r="AA49" i="7"/>
  <c r="AB49" i="7" s="1"/>
  <c r="AC49" i="7" s="1"/>
  <c r="W51" i="6"/>
  <c r="K50" i="6"/>
  <c r="F52" i="6"/>
  <c r="A52" i="6"/>
  <c r="AB52" i="6"/>
  <c r="R50" i="6"/>
  <c r="A52" i="5"/>
  <c r="V51" i="5"/>
  <c r="F52" i="5"/>
  <c r="Q50" i="5"/>
  <c r="K50" i="5"/>
  <c r="AA52" i="5"/>
  <c r="K51" i="4"/>
  <c r="AA49" i="4"/>
  <c r="F50" i="4"/>
  <c r="V51" i="4"/>
  <c r="Q51" i="4"/>
  <c r="V50" i="3"/>
  <c r="AA49" i="3"/>
  <c r="Q49" i="3"/>
  <c r="F50" i="3"/>
  <c r="K49" i="1"/>
  <c r="A50" i="1"/>
  <c r="F49" i="1"/>
  <c r="R52" i="2" l="1"/>
  <c r="S51" i="2"/>
  <c r="X53" i="2"/>
  <c r="Y52" i="2"/>
  <c r="Z52" i="2" s="1"/>
  <c r="A52" i="2"/>
  <c r="C52" i="2" s="1"/>
  <c r="D52" i="2" s="1"/>
  <c r="B51" i="2"/>
  <c r="AC53" i="2"/>
  <c r="AD52" i="2"/>
  <c r="AE52" i="2" s="1"/>
  <c r="G52" i="2"/>
  <c r="H51" i="2"/>
  <c r="I51" i="2" s="1"/>
  <c r="L53" i="2"/>
  <c r="M53" i="2" s="1"/>
  <c r="N53" i="2" s="1"/>
  <c r="M52" i="2"/>
  <c r="N52" i="2" s="1"/>
  <c r="F50" i="7"/>
  <c r="Q50" i="7"/>
  <c r="R50" i="7" s="1"/>
  <c r="S50" i="7" s="1"/>
  <c r="K52" i="7"/>
  <c r="AA50" i="7"/>
  <c r="AB50" i="7" s="1"/>
  <c r="AC50" i="7" s="1"/>
  <c r="V51" i="7"/>
  <c r="W51" i="7" s="1"/>
  <c r="X51" i="7" s="1"/>
  <c r="R51" i="6"/>
  <c r="K51" i="6"/>
  <c r="W52" i="6"/>
  <c r="Q51" i="5"/>
  <c r="V52" i="5"/>
  <c r="K51" i="5"/>
  <c r="V52" i="4"/>
  <c r="F51" i="4"/>
  <c r="AA50" i="4"/>
  <c r="Q52" i="4"/>
  <c r="K52" i="4"/>
  <c r="F51" i="3"/>
  <c r="Q50" i="3"/>
  <c r="AA50" i="3"/>
  <c r="V51" i="3"/>
  <c r="F50" i="1"/>
  <c r="A51" i="1"/>
  <c r="K50" i="1"/>
  <c r="G53" i="2" l="1"/>
  <c r="H53" i="2" s="1"/>
  <c r="I53" i="2" s="1"/>
  <c r="H52" i="2"/>
  <c r="I52" i="2" s="1"/>
  <c r="AC54" i="2"/>
  <c r="AD53" i="2"/>
  <c r="AE53" i="2" s="1"/>
  <c r="A53" i="2"/>
  <c r="B52" i="2"/>
  <c r="X54" i="2"/>
  <c r="Y53" i="2"/>
  <c r="Z53" i="2" s="1"/>
  <c r="R53" i="2"/>
  <c r="S52" i="2"/>
  <c r="Q51" i="7"/>
  <c r="R51" i="7" s="1"/>
  <c r="S51" i="7" s="1"/>
  <c r="F51" i="7"/>
  <c r="V52" i="7"/>
  <c r="W52" i="7" s="1"/>
  <c r="X52" i="7" s="1"/>
  <c r="AA51" i="7"/>
  <c r="AB51" i="7" s="1"/>
  <c r="AC51" i="7" s="1"/>
  <c r="K52" i="6"/>
  <c r="R52" i="6"/>
  <c r="K52" i="5"/>
  <c r="Q52" i="5"/>
  <c r="AA51" i="4"/>
  <c r="F52" i="4"/>
  <c r="V52" i="3"/>
  <c r="AA51" i="3"/>
  <c r="Q51" i="3"/>
  <c r="F52" i="3"/>
  <c r="K51" i="1"/>
  <c r="A52" i="1"/>
  <c r="F51" i="1"/>
  <c r="B53" i="2" l="1"/>
  <c r="C53" i="2"/>
  <c r="D53" i="2" s="1"/>
  <c r="R54" i="2"/>
  <c r="S53" i="2"/>
  <c r="X55" i="2"/>
  <c r="Y54" i="2"/>
  <c r="Z54" i="2" s="1"/>
  <c r="AC55" i="2"/>
  <c r="AD54" i="2"/>
  <c r="AE54" i="2" s="1"/>
  <c r="F52" i="7"/>
  <c r="Q52" i="7"/>
  <c r="R52" i="7" s="1"/>
  <c r="S52" i="7" s="1"/>
  <c r="AA52" i="7"/>
  <c r="AB52" i="7" s="1"/>
  <c r="AC52" i="7" s="1"/>
  <c r="AA52" i="4"/>
  <c r="Q52" i="3"/>
  <c r="AA52" i="3"/>
  <c r="F52" i="1"/>
  <c r="K52" i="1"/>
  <c r="R55" i="2" l="1"/>
  <c r="S54" i="2"/>
  <c r="AC56" i="2"/>
  <c r="AD55" i="2"/>
  <c r="AE55" i="2" s="1"/>
  <c r="X56" i="2"/>
  <c r="Y55" i="2"/>
  <c r="Z55" i="2" s="1"/>
  <c r="R56" i="2" l="1"/>
  <c r="S55" i="2"/>
  <c r="X57" i="2"/>
  <c r="Y56" i="2"/>
  <c r="Z56" i="2" s="1"/>
  <c r="AC57" i="2"/>
  <c r="AD56" i="2"/>
  <c r="AE56" i="2" s="1"/>
  <c r="R57" i="2" l="1"/>
  <c r="S56" i="2"/>
  <c r="AC58" i="2"/>
  <c r="AD57" i="2"/>
  <c r="AE57" i="2" s="1"/>
  <c r="X58" i="2"/>
  <c r="Y57" i="2"/>
  <c r="Z57" i="2" s="1"/>
  <c r="X59" i="2" l="1"/>
  <c r="Y58" i="2"/>
  <c r="Z58" i="2" s="1"/>
  <c r="AC59" i="2"/>
  <c r="AD58" i="2"/>
  <c r="AE58" i="2" s="1"/>
  <c r="R58" i="2"/>
  <c r="S57" i="2"/>
  <c r="R59" i="2" l="1"/>
  <c r="S58" i="2"/>
  <c r="AC60" i="2"/>
  <c r="AD59" i="2"/>
  <c r="AE59" i="2" s="1"/>
  <c r="X60" i="2"/>
  <c r="Y59" i="2"/>
  <c r="Z59" i="2" s="1"/>
  <c r="X61" i="2" l="1"/>
  <c r="Y60" i="2"/>
  <c r="Z60" i="2" s="1"/>
  <c r="AC61" i="2"/>
  <c r="AD60" i="2"/>
  <c r="AE60" i="2" s="1"/>
  <c r="R60" i="2"/>
  <c r="S59" i="2"/>
  <c r="R61" i="2" l="1"/>
  <c r="S60" i="2"/>
  <c r="AC62" i="2"/>
  <c r="AD61" i="2"/>
  <c r="AE61" i="2" s="1"/>
  <c r="X62" i="2"/>
  <c r="Y61" i="2"/>
  <c r="Z61" i="2" s="1"/>
  <c r="X63" i="2" l="1"/>
  <c r="Y62" i="2"/>
  <c r="Z62" i="2" s="1"/>
  <c r="AC63" i="2"/>
  <c r="AD62" i="2"/>
  <c r="AE62" i="2" s="1"/>
  <c r="R62" i="2"/>
  <c r="S61" i="2"/>
  <c r="R63" i="2" l="1"/>
  <c r="S62" i="2"/>
  <c r="AC64" i="2"/>
  <c r="AD63" i="2"/>
  <c r="AE63" i="2" s="1"/>
  <c r="X64" i="2"/>
  <c r="Y63" i="2"/>
  <c r="Z63" i="2" s="1"/>
  <c r="X65" i="2" l="1"/>
  <c r="Y64" i="2"/>
  <c r="Z64" i="2" s="1"/>
  <c r="AC65" i="2"/>
  <c r="AD64" i="2"/>
  <c r="AE64" i="2" s="1"/>
  <c r="R64" i="2"/>
  <c r="S63" i="2"/>
  <c r="R65" i="2" l="1"/>
  <c r="S64" i="2"/>
  <c r="AC66" i="2"/>
  <c r="AD65" i="2"/>
  <c r="AE65" i="2" s="1"/>
  <c r="X66" i="2"/>
  <c r="Y65" i="2"/>
  <c r="Z65" i="2" s="1"/>
  <c r="X67" i="2" l="1"/>
  <c r="Y66" i="2"/>
  <c r="Z66" i="2" s="1"/>
  <c r="AC67" i="2"/>
  <c r="AD66" i="2"/>
  <c r="AE66" i="2" s="1"/>
  <c r="R66" i="2"/>
  <c r="S65" i="2"/>
  <c r="R67" i="2" l="1"/>
  <c r="S66" i="2"/>
  <c r="AC68" i="2"/>
  <c r="AD67" i="2"/>
  <c r="AE67" i="2" s="1"/>
  <c r="X68" i="2"/>
  <c r="Y67" i="2"/>
  <c r="Z67" i="2" s="1"/>
  <c r="X69" i="2" l="1"/>
  <c r="Y68" i="2"/>
  <c r="Z68" i="2" s="1"/>
  <c r="AC69" i="2"/>
  <c r="AD68" i="2"/>
  <c r="AE68" i="2" s="1"/>
  <c r="R68" i="2"/>
  <c r="S67" i="2"/>
  <c r="R69" i="2" l="1"/>
  <c r="S68" i="2"/>
  <c r="AC70" i="2"/>
  <c r="AD69" i="2"/>
  <c r="AE69" i="2" s="1"/>
  <c r="X70" i="2"/>
  <c r="Y69" i="2"/>
  <c r="Z69" i="2" s="1"/>
  <c r="X71" i="2" l="1"/>
  <c r="Y70" i="2"/>
  <c r="Z70" i="2" s="1"/>
  <c r="AC71" i="2"/>
  <c r="AD70" i="2"/>
  <c r="AE70" i="2" s="1"/>
  <c r="R70" i="2"/>
  <c r="S69" i="2"/>
  <c r="R71" i="2" l="1"/>
  <c r="S70" i="2"/>
  <c r="AC72" i="2"/>
  <c r="AD71" i="2"/>
  <c r="AE71" i="2" s="1"/>
  <c r="X72" i="2"/>
  <c r="Y71" i="2"/>
  <c r="Z71" i="2" s="1"/>
  <c r="R72" i="2" l="1"/>
  <c r="S71" i="2"/>
  <c r="X73" i="2"/>
  <c r="Y72" i="2"/>
  <c r="Z72" i="2" s="1"/>
  <c r="AC73" i="2"/>
  <c r="AD72" i="2"/>
  <c r="AE72" i="2" s="1"/>
  <c r="AC74" i="2" l="1"/>
  <c r="AD73" i="2"/>
  <c r="AE73" i="2" s="1"/>
  <c r="X74" i="2"/>
  <c r="Y73" i="2"/>
  <c r="Z73" i="2" s="1"/>
  <c r="R73" i="2"/>
  <c r="S72" i="2"/>
  <c r="R74" i="2" l="1"/>
  <c r="S73" i="2"/>
  <c r="X75" i="2"/>
  <c r="Y74" i="2"/>
  <c r="Z74" i="2" s="1"/>
  <c r="AC75" i="2"/>
  <c r="AD74" i="2"/>
  <c r="AE74" i="2" s="1"/>
  <c r="AC76" i="2" l="1"/>
  <c r="AD75" i="2"/>
  <c r="AE75" i="2" s="1"/>
  <c r="X76" i="2"/>
  <c r="Y75" i="2"/>
  <c r="Z75" i="2" s="1"/>
  <c r="R75" i="2"/>
  <c r="S74" i="2"/>
  <c r="R76" i="2" l="1"/>
  <c r="S75" i="2"/>
  <c r="X77" i="2"/>
  <c r="Y76" i="2"/>
  <c r="Z76" i="2" s="1"/>
  <c r="AC77" i="2"/>
  <c r="AD76" i="2"/>
  <c r="AE76" i="2" s="1"/>
  <c r="AC78" i="2" l="1"/>
  <c r="AD77" i="2"/>
  <c r="AE77" i="2" s="1"/>
  <c r="X78" i="2"/>
  <c r="Y77" i="2"/>
  <c r="Z77" i="2" s="1"/>
  <c r="R77" i="2"/>
  <c r="S76" i="2"/>
  <c r="R78" i="2" l="1"/>
  <c r="S77" i="2"/>
  <c r="X79" i="2"/>
  <c r="Y78" i="2"/>
  <c r="Z78" i="2" s="1"/>
  <c r="AC79" i="2"/>
  <c r="AD78" i="2"/>
  <c r="AE78" i="2" s="1"/>
  <c r="R79" i="2" l="1"/>
  <c r="S78" i="2"/>
  <c r="AC80" i="2"/>
  <c r="AD79" i="2"/>
  <c r="AE79" i="2" s="1"/>
  <c r="X80" i="2"/>
  <c r="Y79" i="2"/>
  <c r="Z79" i="2" s="1"/>
  <c r="X81" i="2" l="1"/>
  <c r="Y80" i="2"/>
  <c r="Z80" i="2" s="1"/>
  <c r="AC81" i="2"/>
  <c r="AD80" i="2"/>
  <c r="AE80" i="2" s="1"/>
  <c r="R80" i="2"/>
  <c r="S79" i="2"/>
  <c r="R81" i="2" l="1"/>
  <c r="S80" i="2"/>
  <c r="AC82" i="2"/>
  <c r="AD81" i="2"/>
  <c r="AE81" i="2" s="1"/>
  <c r="X82" i="2"/>
  <c r="Y81" i="2"/>
  <c r="Z81" i="2" s="1"/>
  <c r="X83" i="2" l="1"/>
  <c r="Y82" i="2"/>
  <c r="Z82" i="2" s="1"/>
  <c r="AC83" i="2"/>
  <c r="AD82" i="2"/>
  <c r="AE82" i="2" s="1"/>
  <c r="R82" i="2"/>
  <c r="S81" i="2"/>
  <c r="R83" i="2" l="1"/>
  <c r="S82" i="2"/>
  <c r="AC84" i="2"/>
  <c r="AD83" i="2"/>
  <c r="AE83" i="2" s="1"/>
  <c r="X84" i="2"/>
  <c r="Y83" i="2"/>
  <c r="Z83" i="2" s="1"/>
  <c r="X85" i="2" l="1"/>
  <c r="Y84" i="2"/>
  <c r="Z84" i="2" s="1"/>
  <c r="AC85" i="2"/>
  <c r="AD84" i="2"/>
  <c r="AE84" i="2" s="1"/>
  <c r="R84" i="2"/>
  <c r="S83" i="2"/>
  <c r="R85" i="2" l="1"/>
  <c r="S84" i="2"/>
  <c r="AC86" i="2"/>
  <c r="AD85" i="2"/>
  <c r="AE85" i="2" s="1"/>
  <c r="X86" i="2"/>
  <c r="Y85" i="2"/>
  <c r="Z85" i="2" s="1"/>
  <c r="X87" i="2" l="1"/>
  <c r="Y86" i="2"/>
  <c r="Z86" i="2" s="1"/>
  <c r="AC87" i="2"/>
  <c r="AD86" i="2"/>
  <c r="AE86" i="2" s="1"/>
  <c r="R86" i="2"/>
  <c r="S85" i="2"/>
  <c r="R87" i="2" l="1"/>
  <c r="S86" i="2"/>
  <c r="AC88" i="2"/>
  <c r="AD87" i="2"/>
  <c r="AE87" i="2" s="1"/>
  <c r="X88" i="2"/>
  <c r="Y87" i="2"/>
  <c r="Z87" i="2" s="1"/>
  <c r="X89" i="2" l="1"/>
  <c r="Y88" i="2"/>
  <c r="Z88" i="2" s="1"/>
  <c r="AC89" i="2"/>
  <c r="AD88" i="2"/>
  <c r="AE88" i="2" s="1"/>
  <c r="R88" i="2"/>
  <c r="S87" i="2"/>
  <c r="R89" i="2" l="1"/>
  <c r="S88" i="2"/>
  <c r="AC90" i="2"/>
  <c r="AD89" i="2"/>
  <c r="AE89" i="2" s="1"/>
  <c r="X90" i="2"/>
  <c r="Y89" i="2"/>
  <c r="Z89" i="2" s="1"/>
  <c r="X91" i="2" l="1"/>
  <c r="Y90" i="2"/>
  <c r="Z90" i="2" s="1"/>
  <c r="AC91" i="2"/>
  <c r="AD90" i="2"/>
  <c r="AE90" i="2" s="1"/>
  <c r="R90" i="2"/>
  <c r="S89" i="2"/>
  <c r="X92" i="2" l="1"/>
  <c r="Y91" i="2"/>
  <c r="Z91" i="2" s="1"/>
  <c r="R91" i="2"/>
  <c r="S90" i="2"/>
  <c r="AC92" i="2"/>
  <c r="AD91" i="2"/>
  <c r="AE91" i="2" s="1"/>
  <c r="AC93" i="2" l="1"/>
  <c r="AD92" i="2"/>
  <c r="AE92" i="2" s="1"/>
  <c r="R92" i="2"/>
  <c r="S91" i="2"/>
  <c r="X93" i="2"/>
  <c r="Y92" i="2"/>
  <c r="Z92" i="2" s="1"/>
  <c r="X94" i="2" l="1"/>
  <c r="Y93" i="2"/>
  <c r="Z93" i="2" s="1"/>
  <c r="R93" i="2"/>
  <c r="S92" i="2"/>
  <c r="AC94" i="2"/>
  <c r="AD93" i="2"/>
  <c r="AE93" i="2" s="1"/>
  <c r="AC95" i="2" l="1"/>
  <c r="AD94" i="2"/>
  <c r="AE94" i="2" s="1"/>
  <c r="R94" i="2"/>
  <c r="S93" i="2"/>
  <c r="X95" i="2"/>
  <c r="Y94" i="2"/>
  <c r="Z94" i="2" s="1"/>
  <c r="X96" i="2" l="1"/>
  <c r="Y95" i="2"/>
  <c r="Z95" i="2" s="1"/>
  <c r="R95" i="2"/>
  <c r="S94" i="2"/>
  <c r="AC96" i="2"/>
  <c r="AD95" i="2"/>
  <c r="AE95" i="2" s="1"/>
  <c r="AC97" i="2" l="1"/>
  <c r="AD96" i="2"/>
  <c r="AE96" i="2" s="1"/>
  <c r="R96" i="2"/>
  <c r="S95" i="2"/>
  <c r="X97" i="2"/>
  <c r="Y96" i="2"/>
  <c r="Z96" i="2" s="1"/>
  <c r="X98" i="2" l="1"/>
  <c r="Y97" i="2"/>
  <c r="Z97" i="2" s="1"/>
  <c r="R97" i="2"/>
  <c r="S96" i="2"/>
  <c r="AC98" i="2"/>
  <c r="AD97" i="2"/>
  <c r="AE97" i="2" s="1"/>
  <c r="AC99" i="2" l="1"/>
  <c r="AD98" i="2"/>
  <c r="AE98" i="2" s="1"/>
  <c r="R98" i="2"/>
  <c r="S97" i="2"/>
  <c r="X99" i="2"/>
  <c r="Y98" i="2"/>
  <c r="Z98" i="2" s="1"/>
  <c r="X100" i="2" l="1"/>
  <c r="Y99" i="2"/>
  <c r="Z99" i="2" s="1"/>
  <c r="R99" i="2"/>
  <c r="S98" i="2"/>
  <c r="AC100" i="2"/>
  <c r="AD99" i="2"/>
  <c r="AE99" i="2" s="1"/>
  <c r="AC101" i="2" l="1"/>
  <c r="AD101" i="2" s="1"/>
  <c r="AE101" i="2" s="1"/>
  <c r="AD100" i="2"/>
  <c r="AE100" i="2" s="1"/>
  <c r="R100" i="2"/>
  <c r="S99" i="2"/>
  <c r="X101" i="2"/>
  <c r="Y101" i="2" s="1"/>
  <c r="Z101" i="2" s="1"/>
  <c r="Y100" i="2"/>
  <c r="Z100" i="2" s="1"/>
  <c r="R101" i="2" l="1"/>
  <c r="S101" i="2" s="1"/>
  <c r="S100" i="2"/>
</calcChain>
</file>

<file path=xl/sharedStrings.xml><?xml version="1.0" encoding="utf-8"?>
<sst xmlns="http://schemas.openxmlformats.org/spreadsheetml/2006/main" count="184" uniqueCount="20">
  <si>
    <t>6" Orange Bungee Extension</t>
  </si>
  <si>
    <t>12" Orange Bungee Extension</t>
  </si>
  <si>
    <t>Length (in)</t>
  </si>
  <si>
    <t>Length fixed to zero</t>
  </si>
  <si>
    <t>Length (m)</t>
  </si>
  <si>
    <t>Force (N)</t>
  </si>
  <si>
    <t>6" Red Bungees</t>
  </si>
  <si>
    <t>12" Red Bungee</t>
  </si>
  <si>
    <t>Length Fixed to zero</t>
  </si>
  <si>
    <t>6" Green Bungees</t>
  </si>
  <si>
    <t>12" Green Bungee</t>
  </si>
  <si>
    <t>6" Black Bungees</t>
  </si>
  <si>
    <t>12" Black Bungee</t>
  </si>
  <si>
    <t>6" Blue Bungees</t>
  </si>
  <si>
    <t>12" Blue Bungee</t>
  </si>
  <si>
    <t>6" Tan Bungees</t>
  </si>
  <si>
    <t>12" Tan Bungee</t>
  </si>
  <si>
    <t>6" Yellow Bungees</t>
  </si>
  <si>
    <t>12" Yellow Bungee</t>
  </si>
  <si>
    <t>Length/L0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</si>
</sst>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Length</a:t>
            </a:r>
            <a:r>
              <a:rPr lang="en-US" baseline="0"/>
              <a:t> vs Force Profiles for 6" &amp; 12" Orange Bungees</a:t>
            </a:r>
            <a:endParaRPr lang="en-US"/>
          </a:p>
        </c:rich>
      </c:tx>
      <c:layout>
        <c:manualLayout>
          <c:xMode val="edge"/>
          <c:yMode val="edge"/>
          <c:x val="0.29363885322592198"/>
          <c:y val="3.4812880765883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358705161854768E-2"/>
          <c:y val="0.11615740740740743"/>
          <c:w val="0.89030796150481195"/>
          <c:h val="0.72125801983085447"/>
        </c:manualLayout>
      </c:layout>
      <c:scatterChart>
        <c:scatterStyle val="smoothMarker"/>
        <c:varyColors val="0"/>
        <c:ser>
          <c:idx val="2"/>
          <c:order val="0"/>
          <c:tx>
            <c:v>6 inch Extension 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'Orange Bungees'!$C$5:$C$53</c:f>
              <c:numCache>
                <c:formatCode>General</c:formatCode>
                <c:ptCount val="49"/>
                <c:pt idx="0">
                  <c:v>0.15239999999999998</c:v>
                </c:pt>
                <c:pt idx="1">
                  <c:v>0.15875</c:v>
                </c:pt>
                <c:pt idx="2">
                  <c:v>0.1651</c:v>
                </c:pt>
                <c:pt idx="3">
                  <c:v>0.17144999999999999</c:v>
                </c:pt>
                <c:pt idx="4">
                  <c:v>0.17779999999999999</c:v>
                </c:pt>
                <c:pt idx="5">
                  <c:v>0.18414999999999998</c:v>
                </c:pt>
                <c:pt idx="6">
                  <c:v>0.1905</c:v>
                </c:pt>
                <c:pt idx="7">
                  <c:v>0.19685</c:v>
                </c:pt>
                <c:pt idx="8">
                  <c:v>0.20319999999999999</c:v>
                </c:pt>
                <c:pt idx="9">
                  <c:v>0.20954999999999999</c:v>
                </c:pt>
                <c:pt idx="10">
                  <c:v>0.21589999999999998</c:v>
                </c:pt>
                <c:pt idx="11">
                  <c:v>0.22225</c:v>
                </c:pt>
                <c:pt idx="12">
                  <c:v>0.2286</c:v>
                </c:pt>
                <c:pt idx="13">
                  <c:v>0.23494999999999999</c:v>
                </c:pt>
                <c:pt idx="14">
                  <c:v>0.24129999999999999</c:v>
                </c:pt>
                <c:pt idx="15">
                  <c:v>0.24764999999999998</c:v>
                </c:pt>
                <c:pt idx="16">
                  <c:v>0.254</c:v>
                </c:pt>
                <c:pt idx="17">
                  <c:v>0.26034999999999997</c:v>
                </c:pt>
                <c:pt idx="18">
                  <c:v>0.26669999999999999</c:v>
                </c:pt>
                <c:pt idx="19">
                  <c:v>0.27305000000000001</c:v>
                </c:pt>
                <c:pt idx="20">
                  <c:v>0.27939999999999998</c:v>
                </c:pt>
                <c:pt idx="21">
                  <c:v>0.28575</c:v>
                </c:pt>
                <c:pt idx="22">
                  <c:v>0.29209999999999997</c:v>
                </c:pt>
                <c:pt idx="23">
                  <c:v>0.29844999999999999</c:v>
                </c:pt>
                <c:pt idx="24">
                  <c:v>0.30479999999999996</c:v>
                </c:pt>
                <c:pt idx="25">
                  <c:v>0.31114999999999998</c:v>
                </c:pt>
                <c:pt idx="26">
                  <c:v>0.3175</c:v>
                </c:pt>
                <c:pt idx="27">
                  <c:v>0.32384999999999997</c:v>
                </c:pt>
                <c:pt idx="28">
                  <c:v>0.33019999999999999</c:v>
                </c:pt>
                <c:pt idx="29">
                  <c:v>0.33654999999999996</c:v>
                </c:pt>
                <c:pt idx="30">
                  <c:v>0.34289999999999998</c:v>
                </c:pt>
                <c:pt idx="31">
                  <c:v>0.34925</c:v>
                </c:pt>
                <c:pt idx="32">
                  <c:v>0.35559999999999997</c:v>
                </c:pt>
                <c:pt idx="33">
                  <c:v>0.36194999999999999</c:v>
                </c:pt>
                <c:pt idx="34">
                  <c:v>0.36829999999999996</c:v>
                </c:pt>
                <c:pt idx="35">
                  <c:v>0.37464999999999998</c:v>
                </c:pt>
                <c:pt idx="36">
                  <c:v>0.38100000000000001</c:v>
                </c:pt>
                <c:pt idx="37">
                  <c:v>0.38734999999999997</c:v>
                </c:pt>
                <c:pt idx="38">
                  <c:v>0.39369999999999999</c:v>
                </c:pt>
                <c:pt idx="39">
                  <c:v>0.40004999999999996</c:v>
                </c:pt>
                <c:pt idx="40">
                  <c:v>0.40639999999999998</c:v>
                </c:pt>
                <c:pt idx="41">
                  <c:v>0.41275000000000001</c:v>
                </c:pt>
                <c:pt idx="42">
                  <c:v>0.41909999999999997</c:v>
                </c:pt>
                <c:pt idx="43">
                  <c:v>0.42544999999999999</c:v>
                </c:pt>
                <c:pt idx="44">
                  <c:v>0.43179999999999996</c:v>
                </c:pt>
                <c:pt idx="45">
                  <c:v>0.43814999999999998</c:v>
                </c:pt>
                <c:pt idx="46">
                  <c:v>0.44450000000000001</c:v>
                </c:pt>
                <c:pt idx="47">
                  <c:v>0.45084999999999997</c:v>
                </c:pt>
                <c:pt idx="48">
                  <c:v>0.4572</c:v>
                </c:pt>
              </c:numCache>
            </c:numRef>
          </c:xVal>
          <c:yVal>
            <c:numRef>
              <c:f>'Orange Bungees'!$E$5:$E$53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1.4</c:v>
                </c:pt>
                <c:pt idx="3">
                  <c:v>2.2000000000000002</c:v>
                </c:pt>
                <c:pt idx="4">
                  <c:v>2.2000000000000002</c:v>
                </c:pt>
                <c:pt idx="5">
                  <c:v>2.8</c:v>
                </c:pt>
                <c:pt idx="6">
                  <c:v>3</c:v>
                </c:pt>
                <c:pt idx="7">
                  <c:v>3.6</c:v>
                </c:pt>
                <c:pt idx="8">
                  <c:v>4</c:v>
                </c:pt>
                <c:pt idx="9">
                  <c:v>4.2</c:v>
                </c:pt>
                <c:pt idx="10">
                  <c:v>4.5999999999999996</c:v>
                </c:pt>
                <c:pt idx="11">
                  <c:v>4.8</c:v>
                </c:pt>
                <c:pt idx="12">
                  <c:v>5</c:v>
                </c:pt>
                <c:pt idx="13">
                  <c:v>5.2</c:v>
                </c:pt>
                <c:pt idx="14">
                  <c:v>5.6</c:v>
                </c:pt>
                <c:pt idx="15">
                  <c:v>5.8</c:v>
                </c:pt>
                <c:pt idx="16">
                  <c:v>6</c:v>
                </c:pt>
                <c:pt idx="17">
                  <c:v>6.2</c:v>
                </c:pt>
                <c:pt idx="18">
                  <c:v>6.4</c:v>
                </c:pt>
                <c:pt idx="19">
                  <c:v>6.6</c:v>
                </c:pt>
                <c:pt idx="20">
                  <c:v>6.8</c:v>
                </c:pt>
                <c:pt idx="21">
                  <c:v>6.8</c:v>
                </c:pt>
                <c:pt idx="22">
                  <c:v>7.2</c:v>
                </c:pt>
                <c:pt idx="23">
                  <c:v>7.4</c:v>
                </c:pt>
                <c:pt idx="24">
                  <c:v>7.6</c:v>
                </c:pt>
                <c:pt idx="25">
                  <c:v>7.6</c:v>
                </c:pt>
                <c:pt idx="26">
                  <c:v>7.8</c:v>
                </c:pt>
                <c:pt idx="27">
                  <c:v>8.1999999999999993</c:v>
                </c:pt>
                <c:pt idx="28">
                  <c:v>8.4</c:v>
                </c:pt>
                <c:pt idx="29">
                  <c:v>8.6</c:v>
                </c:pt>
                <c:pt idx="30">
                  <c:v>8.6</c:v>
                </c:pt>
                <c:pt idx="31">
                  <c:v>8.8000000000000007</c:v>
                </c:pt>
                <c:pt idx="32">
                  <c:v>9</c:v>
                </c:pt>
                <c:pt idx="33">
                  <c:v>9.1999999999999993</c:v>
                </c:pt>
                <c:pt idx="34">
                  <c:v>9.4</c:v>
                </c:pt>
                <c:pt idx="35">
                  <c:v>9.8000000000000007</c:v>
                </c:pt>
                <c:pt idx="36">
                  <c:v>9.8000000000000007</c:v>
                </c:pt>
                <c:pt idx="37">
                  <c:v>10</c:v>
                </c:pt>
                <c:pt idx="38">
                  <c:v>10.4</c:v>
                </c:pt>
                <c:pt idx="39">
                  <c:v>10.4</c:v>
                </c:pt>
                <c:pt idx="40">
                  <c:v>10.8</c:v>
                </c:pt>
                <c:pt idx="41">
                  <c:v>10.8</c:v>
                </c:pt>
                <c:pt idx="42">
                  <c:v>11.2</c:v>
                </c:pt>
                <c:pt idx="43">
                  <c:v>11.4</c:v>
                </c:pt>
                <c:pt idx="44">
                  <c:v>11.6</c:v>
                </c:pt>
                <c:pt idx="45">
                  <c:v>11.8</c:v>
                </c:pt>
                <c:pt idx="46">
                  <c:v>12</c:v>
                </c:pt>
                <c:pt idx="47">
                  <c:v>12.4</c:v>
                </c:pt>
                <c:pt idx="48">
                  <c:v>12.4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2B-5145-8941-E374C2F1CEE5}"/>
            </c:ext>
          </c:extLst>
        </c:ser>
        <c:ser>
          <c:idx val="0"/>
          <c:order val="1"/>
          <c:tx>
            <c:v>6 inch Extension 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'Orange Bungees'!$I$5:$I$53</c:f>
              <c:numCache>
                <c:formatCode>General</c:formatCode>
                <c:ptCount val="49"/>
                <c:pt idx="0">
                  <c:v>0.15239999999999998</c:v>
                </c:pt>
                <c:pt idx="1">
                  <c:v>6.3499999999999997E-3</c:v>
                </c:pt>
                <c:pt idx="2">
                  <c:v>1.2699999999999999E-2</c:v>
                </c:pt>
                <c:pt idx="3">
                  <c:v>1.9049999999999997E-2</c:v>
                </c:pt>
                <c:pt idx="4">
                  <c:v>2.5399999999999999E-2</c:v>
                </c:pt>
                <c:pt idx="5">
                  <c:v>3.175E-2</c:v>
                </c:pt>
                <c:pt idx="6">
                  <c:v>3.8099999999999995E-2</c:v>
                </c:pt>
                <c:pt idx="7">
                  <c:v>4.4449999999999996E-2</c:v>
                </c:pt>
                <c:pt idx="8">
                  <c:v>5.0799999999999998E-2</c:v>
                </c:pt>
                <c:pt idx="9">
                  <c:v>5.7149999999999999E-2</c:v>
                </c:pt>
                <c:pt idx="10">
                  <c:v>6.3500000000000001E-2</c:v>
                </c:pt>
                <c:pt idx="11">
                  <c:v>6.9849999999999995E-2</c:v>
                </c:pt>
                <c:pt idx="12">
                  <c:v>7.619999999999999E-2</c:v>
                </c:pt>
                <c:pt idx="13">
                  <c:v>8.2549999999999998E-2</c:v>
                </c:pt>
                <c:pt idx="14">
                  <c:v>8.8899999999999993E-2</c:v>
                </c:pt>
                <c:pt idx="15">
                  <c:v>9.5250000000000001E-2</c:v>
                </c:pt>
                <c:pt idx="16">
                  <c:v>0.1016</c:v>
                </c:pt>
                <c:pt idx="17">
                  <c:v>0.10794999999999999</c:v>
                </c:pt>
                <c:pt idx="18">
                  <c:v>0.1143</c:v>
                </c:pt>
                <c:pt idx="19">
                  <c:v>0.12064999999999999</c:v>
                </c:pt>
                <c:pt idx="20">
                  <c:v>0.127</c:v>
                </c:pt>
                <c:pt idx="21">
                  <c:v>0.13335</c:v>
                </c:pt>
                <c:pt idx="22">
                  <c:v>0.13969999999999999</c:v>
                </c:pt>
                <c:pt idx="23">
                  <c:v>0.14604999999999999</c:v>
                </c:pt>
                <c:pt idx="24">
                  <c:v>0.15239999999999998</c:v>
                </c:pt>
                <c:pt idx="25">
                  <c:v>0.15875</c:v>
                </c:pt>
                <c:pt idx="26">
                  <c:v>0.1651</c:v>
                </c:pt>
                <c:pt idx="27">
                  <c:v>0.17144999999999999</c:v>
                </c:pt>
                <c:pt idx="28">
                  <c:v>0.17779999999999999</c:v>
                </c:pt>
                <c:pt idx="29">
                  <c:v>0.18414999999999998</c:v>
                </c:pt>
                <c:pt idx="30">
                  <c:v>0.1905</c:v>
                </c:pt>
                <c:pt idx="31">
                  <c:v>0.19685</c:v>
                </c:pt>
                <c:pt idx="32">
                  <c:v>0.20319999999999999</c:v>
                </c:pt>
                <c:pt idx="33">
                  <c:v>0.20954999999999999</c:v>
                </c:pt>
                <c:pt idx="34">
                  <c:v>0.21589999999999998</c:v>
                </c:pt>
                <c:pt idx="35">
                  <c:v>0.22225</c:v>
                </c:pt>
                <c:pt idx="36">
                  <c:v>0.2286</c:v>
                </c:pt>
                <c:pt idx="37">
                  <c:v>0.23494999999999999</c:v>
                </c:pt>
                <c:pt idx="38">
                  <c:v>0.24129999999999999</c:v>
                </c:pt>
                <c:pt idx="39">
                  <c:v>0.24764999999999998</c:v>
                </c:pt>
                <c:pt idx="40">
                  <c:v>0.254</c:v>
                </c:pt>
                <c:pt idx="41">
                  <c:v>0.26034999999999997</c:v>
                </c:pt>
                <c:pt idx="42">
                  <c:v>0.26669999999999999</c:v>
                </c:pt>
                <c:pt idx="43">
                  <c:v>0.27305000000000001</c:v>
                </c:pt>
                <c:pt idx="44">
                  <c:v>0.27939999999999998</c:v>
                </c:pt>
                <c:pt idx="45">
                  <c:v>0.28575</c:v>
                </c:pt>
                <c:pt idx="46">
                  <c:v>0.29209999999999997</c:v>
                </c:pt>
                <c:pt idx="47">
                  <c:v>0.29844999999999999</c:v>
                </c:pt>
                <c:pt idx="48">
                  <c:v>0.30479999999999996</c:v>
                </c:pt>
              </c:numCache>
            </c:numRef>
          </c:xVal>
          <c:yVal>
            <c:numRef>
              <c:f>'Orange Bungees'!$J$5:$J$53</c:f>
              <c:numCache>
                <c:formatCode>General</c:formatCode>
                <c:ptCount val="49"/>
                <c:pt idx="0">
                  <c:v>0</c:v>
                </c:pt>
                <c:pt idx="1">
                  <c:v>0.6</c:v>
                </c:pt>
                <c:pt idx="2">
                  <c:v>1</c:v>
                </c:pt>
                <c:pt idx="3">
                  <c:v>1.4</c:v>
                </c:pt>
                <c:pt idx="4">
                  <c:v>2</c:v>
                </c:pt>
                <c:pt idx="5">
                  <c:v>2.4</c:v>
                </c:pt>
                <c:pt idx="6">
                  <c:v>2.8</c:v>
                </c:pt>
                <c:pt idx="7">
                  <c:v>3.2</c:v>
                </c:pt>
                <c:pt idx="8">
                  <c:v>3.6</c:v>
                </c:pt>
                <c:pt idx="9">
                  <c:v>3.8</c:v>
                </c:pt>
                <c:pt idx="10">
                  <c:v>4.2</c:v>
                </c:pt>
                <c:pt idx="11">
                  <c:v>4.4000000000000004</c:v>
                </c:pt>
                <c:pt idx="12">
                  <c:v>4.5999999999999996</c:v>
                </c:pt>
                <c:pt idx="13">
                  <c:v>5</c:v>
                </c:pt>
                <c:pt idx="14">
                  <c:v>5.2</c:v>
                </c:pt>
                <c:pt idx="15">
                  <c:v>5.4</c:v>
                </c:pt>
                <c:pt idx="16">
                  <c:v>5.6</c:v>
                </c:pt>
                <c:pt idx="17">
                  <c:v>5.8</c:v>
                </c:pt>
                <c:pt idx="18">
                  <c:v>6</c:v>
                </c:pt>
                <c:pt idx="19">
                  <c:v>6.2</c:v>
                </c:pt>
                <c:pt idx="20">
                  <c:v>6.4</c:v>
                </c:pt>
                <c:pt idx="21">
                  <c:v>6.6</c:v>
                </c:pt>
                <c:pt idx="22">
                  <c:v>6.8</c:v>
                </c:pt>
                <c:pt idx="23">
                  <c:v>7</c:v>
                </c:pt>
                <c:pt idx="24">
                  <c:v>7.2</c:v>
                </c:pt>
                <c:pt idx="25">
                  <c:v>7.4</c:v>
                </c:pt>
                <c:pt idx="26">
                  <c:v>7.6</c:v>
                </c:pt>
                <c:pt idx="27">
                  <c:v>7.8</c:v>
                </c:pt>
                <c:pt idx="28">
                  <c:v>8</c:v>
                </c:pt>
                <c:pt idx="29">
                  <c:v>8</c:v>
                </c:pt>
                <c:pt idx="30">
                  <c:v>8.4</c:v>
                </c:pt>
                <c:pt idx="31">
                  <c:v>8.6</c:v>
                </c:pt>
                <c:pt idx="32">
                  <c:v>8.6</c:v>
                </c:pt>
                <c:pt idx="33">
                  <c:v>8.8000000000000007</c:v>
                </c:pt>
                <c:pt idx="34">
                  <c:v>9</c:v>
                </c:pt>
                <c:pt idx="35">
                  <c:v>9.1999999999999993</c:v>
                </c:pt>
                <c:pt idx="36">
                  <c:v>9.4</c:v>
                </c:pt>
                <c:pt idx="37">
                  <c:v>9.6</c:v>
                </c:pt>
                <c:pt idx="38">
                  <c:v>9.8000000000000007</c:v>
                </c:pt>
                <c:pt idx="39">
                  <c:v>10</c:v>
                </c:pt>
                <c:pt idx="40">
                  <c:v>10.199999999999999</c:v>
                </c:pt>
                <c:pt idx="41">
                  <c:v>10.4</c:v>
                </c:pt>
                <c:pt idx="42">
                  <c:v>10.6</c:v>
                </c:pt>
                <c:pt idx="43">
                  <c:v>10.8</c:v>
                </c:pt>
                <c:pt idx="44">
                  <c:v>11</c:v>
                </c:pt>
                <c:pt idx="45">
                  <c:v>11.2</c:v>
                </c:pt>
                <c:pt idx="46">
                  <c:v>11.4</c:v>
                </c:pt>
                <c:pt idx="47">
                  <c:v>11.6</c:v>
                </c:pt>
                <c:pt idx="48">
                  <c:v>11.8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5B1-9048-87E1-327548DFE920}"/>
            </c:ext>
          </c:extLst>
        </c:ser>
        <c:ser>
          <c:idx val="1"/>
          <c:order val="2"/>
          <c:tx>
            <c:v>6 inch Extension 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'Orange Bungees'!$N$5:$N$53</c:f>
              <c:numCache>
                <c:formatCode>General</c:formatCode>
                <c:ptCount val="49"/>
                <c:pt idx="0">
                  <c:v>0.15239999999999998</c:v>
                </c:pt>
                <c:pt idx="1">
                  <c:v>6.3499999999999997E-3</c:v>
                </c:pt>
                <c:pt idx="2">
                  <c:v>1.2699999999999999E-2</c:v>
                </c:pt>
                <c:pt idx="3">
                  <c:v>1.9049999999999997E-2</c:v>
                </c:pt>
                <c:pt idx="4">
                  <c:v>2.5399999999999999E-2</c:v>
                </c:pt>
                <c:pt idx="5">
                  <c:v>3.175E-2</c:v>
                </c:pt>
                <c:pt idx="6">
                  <c:v>3.8099999999999995E-2</c:v>
                </c:pt>
                <c:pt idx="7">
                  <c:v>4.4449999999999996E-2</c:v>
                </c:pt>
                <c:pt idx="8">
                  <c:v>5.0799999999999998E-2</c:v>
                </c:pt>
                <c:pt idx="9">
                  <c:v>5.7149999999999999E-2</c:v>
                </c:pt>
                <c:pt idx="10">
                  <c:v>6.3500000000000001E-2</c:v>
                </c:pt>
                <c:pt idx="11">
                  <c:v>6.9849999999999995E-2</c:v>
                </c:pt>
                <c:pt idx="12">
                  <c:v>7.619999999999999E-2</c:v>
                </c:pt>
                <c:pt idx="13">
                  <c:v>8.2549999999999998E-2</c:v>
                </c:pt>
                <c:pt idx="14">
                  <c:v>8.8899999999999993E-2</c:v>
                </c:pt>
                <c:pt idx="15">
                  <c:v>9.5250000000000001E-2</c:v>
                </c:pt>
                <c:pt idx="16">
                  <c:v>0.1016</c:v>
                </c:pt>
                <c:pt idx="17">
                  <c:v>0.10794999999999999</c:v>
                </c:pt>
                <c:pt idx="18">
                  <c:v>0.1143</c:v>
                </c:pt>
                <c:pt idx="19">
                  <c:v>0.12064999999999999</c:v>
                </c:pt>
                <c:pt idx="20">
                  <c:v>0.127</c:v>
                </c:pt>
                <c:pt idx="21">
                  <c:v>0.13335</c:v>
                </c:pt>
                <c:pt idx="22">
                  <c:v>0.13969999999999999</c:v>
                </c:pt>
                <c:pt idx="23">
                  <c:v>0.14604999999999999</c:v>
                </c:pt>
                <c:pt idx="24">
                  <c:v>0.15239999999999998</c:v>
                </c:pt>
                <c:pt idx="25">
                  <c:v>0.15875</c:v>
                </c:pt>
                <c:pt idx="26">
                  <c:v>0.1651</c:v>
                </c:pt>
                <c:pt idx="27">
                  <c:v>0.17144999999999999</c:v>
                </c:pt>
                <c:pt idx="28">
                  <c:v>0.17779999999999999</c:v>
                </c:pt>
                <c:pt idx="29">
                  <c:v>0.18414999999999998</c:v>
                </c:pt>
                <c:pt idx="30">
                  <c:v>0.1905</c:v>
                </c:pt>
                <c:pt idx="31">
                  <c:v>0.19685</c:v>
                </c:pt>
                <c:pt idx="32">
                  <c:v>0.20319999999999999</c:v>
                </c:pt>
                <c:pt idx="33">
                  <c:v>0.20954999999999999</c:v>
                </c:pt>
                <c:pt idx="34">
                  <c:v>0.21589999999999998</c:v>
                </c:pt>
                <c:pt idx="35">
                  <c:v>0.22225</c:v>
                </c:pt>
                <c:pt idx="36">
                  <c:v>0.2286</c:v>
                </c:pt>
                <c:pt idx="37">
                  <c:v>0.23494999999999999</c:v>
                </c:pt>
                <c:pt idx="38">
                  <c:v>0.24129999999999999</c:v>
                </c:pt>
                <c:pt idx="39">
                  <c:v>0.24764999999999998</c:v>
                </c:pt>
                <c:pt idx="40">
                  <c:v>0.254</c:v>
                </c:pt>
                <c:pt idx="41">
                  <c:v>0.26034999999999997</c:v>
                </c:pt>
                <c:pt idx="42">
                  <c:v>0.26669999999999999</c:v>
                </c:pt>
                <c:pt idx="43">
                  <c:v>0.27305000000000001</c:v>
                </c:pt>
                <c:pt idx="44">
                  <c:v>0.27939999999999998</c:v>
                </c:pt>
                <c:pt idx="45">
                  <c:v>0.28575</c:v>
                </c:pt>
                <c:pt idx="46">
                  <c:v>0.29209999999999997</c:v>
                </c:pt>
                <c:pt idx="47">
                  <c:v>0.29844999999999999</c:v>
                </c:pt>
                <c:pt idx="48">
                  <c:v>0.30479999999999996</c:v>
                </c:pt>
              </c:numCache>
            </c:numRef>
          </c:xVal>
          <c:yVal>
            <c:numRef>
              <c:f>'Orange Bungees'!$O$5:$O$53</c:f>
              <c:numCache>
                <c:formatCode>General</c:formatCode>
                <c:ptCount val="49"/>
                <c:pt idx="0">
                  <c:v>0</c:v>
                </c:pt>
                <c:pt idx="1">
                  <c:v>0.6</c:v>
                </c:pt>
                <c:pt idx="2">
                  <c:v>1</c:v>
                </c:pt>
                <c:pt idx="3">
                  <c:v>1.8</c:v>
                </c:pt>
                <c:pt idx="4">
                  <c:v>2</c:v>
                </c:pt>
                <c:pt idx="5">
                  <c:v>2.4</c:v>
                </c:pt>
                <c:pt idx="6">
                  <c:v>2.8</c:v>
                </c:pt>
                <c:pt idx="7">
                  <c:v>3.2</c:v>
                </c:pt>
                <c:pt idx="8">
                  <c:v>3.6</c:v>
                </c:pt>
                <c:pt idx="9">
                  <c:v>3.8</c:v>
                </c:pt>
                <c:pt idx="10">
                  <c:v>4.2</c:v>
                </c:pt>
                <c:pt idx="11">
                  <c:v>4.4000000000000004</c:v>
                </c:pt>
                <c:pt idx="12">
                  <c:v>4.5999999999999996</c:v>
                </c:pt>
                <c:pt idx="13">
                  <c:v>5</c:v>
                </c:pt>
                <c:pt idx="14">
                  <c:v>5.2</c:v>
                </c:pt>
                <c:pt idx="15">
                  <c:v>5.4</c:v>
                </c:pt>
                <c:pt idx="16">
                  <c:v>5.6</c:v>
                </c:pt>
                <c:pt idx="17">
                  <c:v>5.8</c:v>
                </c:pt>
                <c:pt idx="18">
                  <c:v>6</c:v>
                </c:pt>
                <c:pt idx="19">
                  <c:v>6.2</c:v>
                </c:pt>
                <c:pt idx="20">
                  <c:v>6.4</c:v>
                </c:pt>
                <c:pt idx="21">
                  <c:v>6.6</c:v>
                </c:pt>
                <c:pt idx="22">
                  <c:v>6.8</c:v>
                </c:pt>
                <c:pt idx="23">
                  <c:v>7</c:v>
                </c:pt>
                <c:pt idx="24">
                  <c:v>7.2</c:v>
                </c:pt>
                <c:pt idx="25">
                  <c:v>7.4</c:v>
                </c:pt>
                <c:pt idx="26">
                  <c:v>7.6</c:v>
                </c:pt>
                <c:pt idx="27">
                  <c:v>7.8</c:v>
                </c:pt>
                <c:pt idx="28">
                  <c:v>8</c:v>
                </c:pt>
                <c:pt idx="29">
                  <c:v>8.1999999999999993</c:v>
                </c:pt>
                <c:pt idx="30">
                  <c:v>8.1999999999999993</c:v>
                </c:pt>
                <c:pt idx="31">
                  <c:v>8.6</c:v>
                </c:pt>
                <c:pt idx="32">
                  <c:v>8.8000000000000007</c:v>
                </c:pt>
                <c:pt idx="33">
                  <c:v>9</c:v>
                </c:pt>
                <c:pt idx="34">
                  <c:v>9.1999999999999993</c:v>
                </c:pt>
                <c:pt idx="35">
                  <c:v>9.4</c:v>
                </c:pt>
                <c:pt idx="36">
                  <c:v>9.6</c:v>
                </c:pt>
                <c:pt idx="37">
                  <c:v>9.6</c:v>
                </c:pt>
                <c:pt idx="38">
                  <c:v>9.8000000000000007</c:v>
                </c:pt>
                <c:pt idx="39">
                  <c:v>10</c:v>
                </c:pt>
                <c:pt idx="40">
                  <c:v>10.199999999999999</c:v>
                </c:pt>
                <c:pt idx="41">
                  <c:v>10.4</c:v>
                </c:pt>
                <c:pt idx="42">
                  <c:v>10.6</c:v>
                </c:pt>
                <c:pt idx="43">
                  <c:v>10.8</c:v>
                </c:pt>
                <c:pt idx="44">
                  <c:v>11</c:v>
                </c:pt>
                <c:pt idx="45">
                  <c:v>11.4</c:v>
                </c:pt>
                <c:pt idx="46">
                  <c:v>11.6</c:v>
                </c:pt>
                <c:pt idx="47">
                  <c:v>11.8</c:v>
                </c:pt>
                <c:pt idx="48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5B1-9048-87E1-327548DFE920}"/>
            </c:ext>
          </c:extLst>
        </c:ser>
        <c:ser>
          <c:idx val="3"/>
          <c:order val="3"/>
          <c:tx>
            <c:v>12 inch Extension 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'Orange Bungees'!$T$5:$T$101</c:f>
              <c:numCache>
                <c:formatCode>General</c:formatCode>
                <c:ptCount val="97"/>
                <c:pt idx="0">
                  <c:v>0.30479999999999996</c:v>
                </c:pt>
                <c:pt idx="1">
                  <c:v>0.31114999999999998</c:v>
                </c:pt>
                <c:pt idx="2">
                  <c:v>0.3175</c:v>
                </c:pt>
                <c:pt idx="3">
                  <c:v>0.32384999999999997</c:v>
                </c:pt>
                <c:pt idx="4">
                  <c:v>0.33019999999999999</c:v>
                </c:pt>
                <c:pt idx="5">
                  <c:v>0.33654999999999996</c:v>
                </c:pt>
                <c:pt idx="6">
                  <c:v>0.34289999999999998</c:v>
                </c:pt>
                <c:pt idx="7">
                  <c:v>0.34925</c:v>
                </c:pt>
                <c:pt idx="8">
                  <c:v>0.35559999999999997</c:v>
                </c:pt>
                <c:pt idx="9">
                  <c:v>0.36194999999999999</c:v>
                </c:pt>
                <c:pt idx="10">
                  <c:v>0.36829999999999996</c:v>
                </c:pt>
                <c:pt idx="11">
                  <c:v>0.37464999999999998</c:v>
                </c:pt>
                <c:pt idx="12">
                  <c:v>0.38100000000000001</c:v>
                </c:pt>
                <c:pt idx="13">
                  <c:v>0.38734999999999997</c:v>
                </c:pt>
                <c:pt idx="14">
                  <c:v>0.39369999999999999</c:v>
                </c:pt>
                <c:pt idx="15">
                  <c:v>0.40004999999999996</c:v>
                </c:pt>
                <c:pt idx="16">
                  <c:v>0.40639999999999998</c:v>
                </c:pt>
                <c:pt idx="17">
                  <c:v>0.41275000000000001</c:v>
                </c:pt>
                <c:pt idx="18">
                  <c:v>0.41909999999999997</c:v>
                </c:pt>
                <c:pt idx="19">
                  <c:v>0.42544999999999999</c:v>
                </c:pt>
                <c:pt idx="20">
                  <c:v>0.43179999999999996</c:v>
                </c:pt>
                <c:pt idx="21">
                  <c:v>0.43814999999999998</c:v>
                </c:pt>
                <c:pt idx="22">
                  <c:v>0.44450000000000001</c:v>
                </c:pt>
                <c:pt idx="23">
                  <c:v>0.45084999999999997</c:v>
                </c:pt>
                <c:pt idx="24">
                  <c:v>0.4572</c:v>
                </c:pt>
                <c:pt idx="25">
                  <c:v>0.46354999999999996</c:v>
                </c:pt>
                <c:pt idx="26">
                  <c:v>0.46989999999999998</c:v>
                </c:pt>
                <c:pt idx="27">
                  <c:v>0.47625000000000001</c:v>
                </c:pt>
                <c:pt idx="28">
                  <c:v>0.48259999999999997</c:v>
                </c:pt>
                <c:pt idx="29">
                  <c:v>0.48895</c:v>
                </c:pt>
                <c:pt idx="30">
                  <c:v>0.49529999999999996</c:v>
                </c:pt>
                <c:pt idx="31">
                  <c:v>0.50164999999999993</c:v>
                </c:pt>
                <c:pt idx="32">
                  <c:v>0.50800000000000001</c:v>
                </c:pt>
                <c:pt idx="33">
                  <c:v>0.51434999999999997</c:v>
                </c:pt>
                <c:pt idx="34">
                  <c:v>0.52069999999999994</c:v>
                </c:pt>
                <c:pt idx="35">
                  <c:v>0.52705000000000002</c:v>
                </c:pt>
                <c:pt idx="36">
                  <c:v>0.53339999999999999</c:v>
                </c:pt>
                <c:pt idx="37">
                  <c:v>0.53974999999999995</c:v>
                </c:pt>
                <c:pt idx="38">
                  <c:v>0.54610000000000003</c:v>
                </c:pt>
                <c:pt idx="39">
                  <c:v>0.55245</c:v>
                </c:pt>
                <c:pt idx="40">
                  <c:v>0.55879999999999996</c:v>
                </c:pt>
                <c:pt idx="41">
                  <c:v>0.56514999999999993</c:v>
                </c:pt>
                <c:pt idx="42">
                  <c:v>0.57150000000000001</c:v>
                </c:pt>
                <c:pt idx="43">
                  <c:v>0.57784999999999997</c:v>
                </c:pt>
                <c:pt idx="44">
                  <c:v>0.58419999999999994</c:v>
                </c:pt>
                <c:pt idx="45">
                  <c:v>0.59055000000000002</c:v>
                </c:pt>
                <c:pt idx="46">
                  <c:v>0.59689999999999999</c:v>
                </c:pt>
                <c:pt idx="47">
                  <c:v>0.60324999999999995</c:v>
                </c:pt>
                <c:pt idx="48">
                  <c:v>0.60959999999999992</c:v>
                </c:pt>
                <c:pt idx="49">
                  <c:v>0.61595</c:v>
                </c:pt>
                <c:pt idx="50">
                  <c:v>0.62229999999999996</c:v>
                </c:pt>
                <c:pt idx="51">
                  <c:v>0.62864999999999993</c:v>
                </c:pt>
                <c:pt idx="52">
                  <c:v>0.63500000000000001</c:v>
                </c:pt>
                <c:pt idx="53">
                  <c:v>0.64134999999999998</c:v>
                </c:pt>
                <c:pt idx="54">
                  <c:v>0.64769999999999994</c:v>
                </c:pt>
                <c:pt idx="55">
                  <c:v>0.65405000000000002</c:v>
                </c:pt>
                <c:pt idx="56">
                  <c:v>0.66039999999999999</c:v>
                </c:pt>
                <c:pt idx="57">
                  <c:v>0.66674999999999995</c:v>
                </c:pt>
                <c:pt idx="58">
                  <c:v>0.67309999999999992</c:v>
                </c:pt>
                <c:pt idx="59">
                  <c:v>0.67945</c:v>
                </c:pt>
                <c:pt idx="60">
                  <c:v>0.68579999999999997</c:v>
                </c:pt>
                <c:pt idx="61">
                  <c:v>0.69214999999999993</c:v>
                </c:pt>
                <c:pt idx="62">
                  <c:v>0.69850000000000001</c:v>
                </c:pt>
                <c:pt idx="63">
                  <c:v>0.70484999999999998</c:v>
                </c:pt>
                <c:pt idx="64">
                  <c:v>0.71119999999999994</c:v>
                </c:pt>
                <c:pt idx="65">
                  <c:v>0.71755000000000002</c:v>
                </c:pt>
                <c:pt idx="66">
                  <c:v>0.72389999999999999</c:v>
                </c:pt>
                <c:pt idx="67">
                  <c:v>0.73024999999999995</c:v>
                </c:pt>
                <c:pt idx="68">
                  <c:v>0.73659999999999992</c:v>
                </c:pt>
                <c:pt idx="69">
                  <c:v>0.74295</c:v>
                </c:pt>
                <c:pt idx="70">
                  <c:v>0.74929999999999997</c:v>
                </c:pt>
                <c:pt idx="71">
                  <c:v>0.75564999999999993</c:v>
                </c:pt>
                <c:pt idx="72">
                  <c:v>0.76200000000000001</c:v>
                </c:pt>
                <c:pt idx="73">
                  <c:v>0.76834999999999998</c:v>
                </c:pt>
                <c:pt idx="74">
                  <c:v>0.77469999999999994</c:v>
                </c:pt>
                <c:pt idx="75">
                  <c:v>0.78105000000000002</c:v>
                </c:pt>
                <c:pt idx="76">
                  <c:v>0.78739999999999999</c:v>
                </c:pt>
                <c:pt idx="77">
                  <c:v>0.79374999999999996</c:v>
                </c:pt>
                <c:pt idx="78">
                  <c:v>0.80009999999999992</c:v>
                </c:pt>
                <c:pt idx="79">
                  <c:v>0.80645</c:v>
                </c:pt>
                <c:pt idx="80">
                  <c:v>0.81279999999999997</c:v>
                </c:pt>
                <c:pt idx="81">
                  <c:v>0.81914999999999993</c:v>
                </c:pt>
                <c:pt idx="82">
                  <c:v>0.82550000000000001</c:v>
                </c:pt>
                <c:pt idx="83">
                  <c:v>0.83184999999999998</c:v>
                </c:pt>
                <c:pt idx="84">
                  <c:v>0.83819999999999995</c:v>
                </c:pt>
                <c:pt idx="85">
                  <c:v>0.84454999999999991</c:v>
                </c:pt>
                <c:pt idx="86">
                  <c:v>0.85089999999999999</c:v>
                </c:pt>
                <c:pt idx="87">
                  <c:v>0.85724999999999996</c:v>
                </c:pt>
                <c:pt idx="88">
                  <c:v>0.86359999999999992</c:v>
                </c:pt>
                <c:pt idx="89">
                  <c:v>0.86995</c:v>
                </c:pt>
                <c:pt idx="90">
                  <c:v>0.87629999999999997</c:v>
                </c:pt>
                <c:pt idx="91">
                  <c:v>0.88264999999999993</c:v>
                </c:pt>
                <c:pt idx="92">
                  <c:v>0.88900000000000001</c:v>
                </c:pt>
                <c:pt idx="93">
                  <c:v>0.89534999999999998</c:v>
                </c:pt>
                <c:pt idx="94">
                  <c:v>0.90169999999999995</c:v>
                </c:pt>
                <c:pt idx="95">
                  <c:v>0.90804999999999991</c:v>
                </c:pt>
                <c:pt idx="96">
                  <c:v>0.91439999999999999</c:v>
                </c:pt>
              </c:numCache>
            </c:numRef>
          </c:xVal>
          <c:yVal>
            <c:numRef>
              <c:f>'Orange Bungees'!$V$5:$V$101</c:f>
              <c:numCache>
                <c:formatCode>General</c:formatCode>
                <c:ptCount val="97"/>
                <c:pt idx="0">
                  <c:v>0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1.2</c:v>
                </c:pt>
                <c:pt idx="5">
                  <c:v>1.4</c:v>
                </c:pt>
                <c:pt idx="6">
                  <c:v>1.6</c:v>
                </c:pt>
                <c:pt idx="7">
                  <c:v>1.8</c:v>
                </c:pt>
                <c:pt idx="8">
                  <c:v>2</c:v>
                </c:pt>
                <c:pt idx="9">
                  <c:v>2.4</c:v>
                </c:pt>
                <c:pt idx="10">
                  <c:v>2.4</c:v>
                </c:pt>
                <c:pt idx="11">
                  <c:v>2.6</c:v>
                </c:pt>
                <c:pt idx="12">
                  <c:v>2.8</c:v>
                </c:pt>
                <c:pt idx="13">
                  <c:v>3</c:v>
                </c:pt>
                <c:pt idx="14">
                  <c:v>3.2</c:v>
                </c:pt>
                <c:pt idx="15">
                  <c:v>3.4</c:v>
                </c:pt>
                <c:pt idx="16">
                  <c:v>3.6</c:v>
                </c:pt>
                <c:pt idx="17">
                  <c:v>3.8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4.5999999999999996</c:v>
                </c:pt>
                <c:pt idx="25">
                  <c:v>4.8</c:v>
                </c:pt>
                <c:pt idx="26">
                  <c:v>5</c:v>
                </c:pt>
                <c:pt idx="27">
                  <c:v>5</c:v>
                </c:pt>
                <c:pt idx="28">
                  <c:v>5.2</c:v>
                </c:pt>
                <c:pt idx="29">
                  <c:v>5.2</c:v>
                </c:pt>
                <c:pt idx="30">
                  <c:v>5.4</c:v>
                </c:pt>
                <c:pt idx="31">
                  <c:v>5.4</c:v>
                </c:pt>
                <c:pt idx="32">
                  <c:v>5.6</c:v>
                </c:pt>
                <c:pt idx="33">
                  <c:v>5.6</c:v>
                </c:pt>
                <c:pt idx="34">
                  <c:v>5.8</c:v>
                </c:pt>
                <c:pt idx="35">
                  <c:v>5.8</c:v>
                </c:pt>
                <c:pt idx="36">
                  <c:v>6</c:v>
                </c:pt>
                <c:pt idx="37">
                  <c:v>6</c:v>
                </c:pt>
                <c:pt idx="38">
                  <c:v>6.2</c:v>
                </c:pt>
                <c:pt idx="39">
                  <c:v>6.2</c:v>
                </c:pt>
                <c:pt idx="40">
                  <c:v>6.4</c:v>
                </c:pt>
                <c:pt idx="41">
                  <c:v>6.4</c:v>
                </c:pt>
                <c:pt idx="42">
                  <c:v>6.6</c:v>
                </c:pt>
                <c:pt idx="43">
                  <c:v>6.6</c:v>
                </c:pt>
                <c:pt idx="44">
                  <c:v>6.8</c:v>
                </c:pt>
                <c:pt idx="45">
                  <c:v>6.8</c:v>
                </c:pt>
                <c:pt idx="46">
                  <c:v>7</c:v>
                </c:pt>
                <c:pt idx="47">
                  <c:v>7</c:v>
                </c:pt>
                <c:pt idx="48">
                  <c:v>7.2</c:v>
                </c:pt>
                <c:pt idx="49">
                  <c:v>7.2</c:v>
                </c:pt>
                <c:pt idx="50">
                  <c:v>7.2</c:v>
                </c:pt>
                <c:pt idx="51">
                  <c:v>7.4</c:v>
                </c:pt>
                <c:pt idx="52">
                  <c:v>7.6</c:v>
                </c:pt>
                <c:pt idx="53">
                  <c:v>7.6</c:v>
                </c:pt>
                <c:pt idx="54">
                  <c:v>7.6</c:v>
                </c:pt>
                <c:pt idx="55">
                  <c:v>7.8</c:v>
                </c:pt>
                <c:pt idx="56">
                  <c:v>7.8</c:v>
                </c:pt>
                <c:pt idx="57">
                  <c:v>7.8</c:v>
                </c:pt>
                <c:pt idx="58">
                  <c:v>8</c:v>
                </c:pt>
                <c:pt idx="59">
                  <c:v>8</c:v>
                </c:pt>
                <c:pt idx="60">
                  <c:v>8.1999999999999993</c:v>
                </c:pt>
                <c:pt idx="61">
                  <c:v>8.1999999999999993</c:v>
                </c:pt>
                <c:pt idx="62">
                  <c:v>8.4</c:v>
                </c:pt>
                <c:pt idx="63">
                  <c:v>8.4</c:v>
                </c:pt>
                <c:pt idx="64">
                  <c:v>8.6</c:v>
                </c:pt>
                <c:pt idx="65">
                  <c:v>8.6</c:v>
                </c:pt>
                <c:pt idx="66">
                  <c:v>8.6</c:v>
                </c:pt>
                <c:pt idx="67">
                  <c:v>8.8000000000000007</c:v>
                </c:pt>
                <c:pt idx="68">
                  <c:v>8.8000000000000007</c:v>
                </c:pt>
                <c:pt idx="69">
                  <c:v>9</c:v>
                </c:pt>
                <c:pt idx="70">
                  <c:v>9.1999999999999993</c:v>
                </c:pt>
                <c:pt idx="71">
                  <c:v>9.1999999999999993</c:v>
                </c:pt>
                <c:pt idx="72">
                  <c:v>9.1999999999999993</c:v>
                </c:pt>
                <c:pt idx="73">
                  <c:v>9.4</c:v>
                </c:pt>
                <c:pt idx="74">
                  <c:v>9.6</c:v>
                </c:pt>
                <c:pt idx="75">
                  <c:v>9.6</c:v>
                </c:pt>
                <c:pt idx="76">
                  <c:v>9.6</c:v>
                </c:pt>
                <c:pt idx="77">
                  <c:v>9.8000000000000007</c:v>
                </c:pt>
                <c:pt idx="78">
                  <c:v>9.8000000000000007</c:v>
                </c:pt>
                <c:pt idx="79">
                  <c:v>10</c:v>
                </c:pt>
                <c:pt idx="80">
                  <c:v>10</c:v>
                </c:pt>
                <c:pt idx="81">
                  <c:v>10.199999999999999</c:v>
                </c:pt>
                <c:pt idx="82">
                  <c:v>10.199999999999999</c:v>
                </c:pt>
                <c:pt idx="83">
                  <c:v>10.4</c:v>
                </c:pt>
                <c:pt idx="84">
                  <c:v>10.4</c:v>
                </c:pt>
                <c:pt idx="85">
                  <c:v>10.6</c:v>
                </c:pt>
                <c:pt idx="86">
                  <c:v>10.6</c:v>
                </c:pt>
                <c:pt idx="87">
                  <c:v>10.8</c:v>
                </c:pt>
                <c:pt idx="88">
                  <c:v>10.8</c:v>
                </c:pt>
                <c:pt idx="89">
                  <c:v>11</c:v>
                </c:pt>
                <c:pt idx="90">
                  <c:v>11</c:v>
                </c:pt>
                <c:pt idx="91">
                  <c:v>11</c:v>
                </c:pt>
                <c:pt idx="92">
                  <c:v>11.2</c:v>
                </c:pt>
                <c:pt idx="93">
                  <c:v>11.4</c:v>
                </c:pt>
                <c:pt idx="94">
                  <c:v>11.4</c:v>
                </c:pt>
                <c:pt idx="95">
                  <c:v>11.4</c:v>
                </c:pt>
                <c:pt idx="96">
                  <c:v>11.4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5B1-9048-87E1-327548DFE920}"/>
            </c:ext>
          </c:extLst>
        </c:ser>
        <c:ser>
          <c:idx val="4"/>
          <c:order val="4"/>
          <c:tx>
            <c:v>12 inch Extension 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'Orange Bungees'!$Z$5:$Z$101</c:f>
              <c:numCache>
                <c:formatCode>General</c:formatCode>
                <c:ptCount val="97"/>
                <c:pt idx="0">
                  <c:v>0.30479999999999996</c:v>
                </c:pt>
                <c:pt idx="1">
                  <c:v>6.3499999999999997E-3</c:v>
                </c:pt>
                <c:pt idx="2">
                  <c:v>1.2699999999999999E-2</c:v>
                </c:pt>
                <c:pt idx="3">
                  <c:v>1.9049999999999997E-2</c:v>
                </c:pt>
                <c:pt idx="4">
                  <c:v>2.5399999999999999E-2</c:v>
                </c:pt>
                <c:pt idx="5">
                  <c:v>3.175E-2</c:v>
                </c:pt>
                <c:pt idx="6">
                  <c:v>3.8099999999999995E-2</c:v>
                </c:pt>
                <c:pt idx="7">
                  <c:v>4.4449999999999996E-2</c:v>
                </c:pt>
                <c:pt idx="8">
                  <c:v>5.0799999999999998E-2</c:v>
                </c:pt>
                <c:pt idx="9">
                  <c:v>5.7149999999999999E-2</c:v>
                </c:pt>
                <c:pt idx="10">
                  <c:v>6.3500000000000001E-2</c:v>
                </c:pt>
                <c:pt idx="11">
                  <c:v>6.9849999999999995E-2</c:v>
                </c:pt>
                <c:pt idx="12">
                  <c:v>7.619999999999999E-2</c:v>
                </c:pt>
                <c:pt idx="13">
                  <c:v>8.2549999999999998E-2</c:v>
                </c:pt>
                <c:pt idx="14">
                  <c:v>8.8899999999999993E-2</c:v>
                </c:pt>
                <c:pt idx="15">
                  <c:v>9.5250000000000001E-2</c:v>
                </c:pt>
                <c:pt idx="16">
                  <c:v>0.1016</c:v>
                </c:pt>
                <c:pt idx="17">
                  <c:v>0.10794999999999999</c:v>
                </c:pt>
                <c:pt idx="18">
                  <c:v>0.1143</c:v>
                </c:pt>
                <c:pt idx="19">
                  <c:v>0.12064999999999999</c:v>
                </c:pt>
                <c:pt idx="20">
                  <c:v>0.127</c:v>
                </c:pt>
                <c:pt idx="21">
                  <c:v>0.13335</c:v>
                </c:pt>
                <c:pt idx="22">
                  <c:v>0.13969999999999999</c:v>
                </c:pt>
                <c:pt idx="23">
                  <c:v>0.14604999999999999</c:v>
                </c:pt>
                <c:pt idx="24">
                  <c:v>0.15239999999999998</c:v>
                </c:pt>
                <c:pt idx="25">
                  <c:v>0.15875</c:v>
                </c:pt>
                <c:pt idx="26">
                  <c:v>0.1651</c:v>
                </c:pt>
                <c:pt idx="27">
                  <c:v>0.17144999999999999</c:v>
                </c:pt>
                <c:pt idx="28">
                  <c:v>0.17779999999999999</c:v>
                </c:pt>
                <c:pt idx="29">
                  <c:v>0.18414999999999998</c:v>
                </c:pt>
                <c:pt idx="30">
                  <c:v>0.1905</c:v>
                </c:pt>
                <c:pt idx="31">
                  <c:v>0.19685</c:v>
                </c:pt>
                <c:pt idx="32">
                  <c:v>0.20319999999999999</c:v>
                </c:pt>
                <c:pt idx="33">
                  <c:v>0.20954999999999999</c:v>
                </c:pt>
                <c:pt idx="34">
                  <c:v>0.21589999999999998</c:v>
                </c:pt>
                <c:pt idx="35">
                  <c:v>0.22225</c:v>
                </c:pt>
                <c:pt idx="36">
                  <c:v>0.2286</c:v>
                </c:pt>
                <c:pt idx="37">
                  <c:v>0.23494999999999999</c:v>
                </c:pt>
                <c:pt idx="38">
                  <c:v>0.24129999999999999</c:v>
                </c:pt>
                <c:pt idx="39">
                  <c:v>0.24764999999999998</c:v>
                </c:pt>
                <c:pt idx="40">
                  <c:v>0.254</c:v>
                </c:pt>
                <c:pt idx="41">
                  <c:v>0.26034999999999997</c:v>
                </c:pt>
                <c:pt idx="42">
                  <c:v>0.26669999999999999</c:v>
                </c:pt>
                <c:pt idx="43">
                  <c:v>0.27305000000000001</c:v>
                </c:pt>
                <c:pt idx="44">
                  <c:v>0.27939999999999998</c:v>
                </c:pt>
                <c:pt idx="45">
                  <c:v>0.28575</c:v>
                </c:pt>
                <c:pt idx="46">
                  <c:v>0.29209999999999997</c:v>
                </c:pt>
                <c:pt idx="47">
                  <c:v>0.29844999999999999</c:v>
                </c:pt>
                <c:pt idx="48">
                  <c:v>0.30479999999999996</c:v>
                </c:pt>
                <c:pt idx="49">
                  <c:v>0.31114999999999998</c:v>
                </c:pt>
                <c:pt idx="50">
                  <c:v>0.3175</c:v>
                </c:pt>
                <c:pt idx="51">
                  <c:v>0.32384999999999997</c:v>
                </c:pt>
                <c:pt idx="52">
                  <c:v>0.33019999999999999</c:v>
                </c:pt>
                <c:pt idx="53">
                  <c:v>0.33654999999999996</c:v>
                </c:pt>
                <c:pt idx="54">
                  <c:v>0.34289999999999998</c:v>
                </c:pt>
                <c:pt idx="55">
                  <c:v>0.34925</c:v>
                </c:pt>
                <c:pt idx="56">
                  <c:v>0.35559999999999997</c:v>
                </c:pt>
                <c:pt idx="57">
                  <c:v>0.36194999999999999</c:v>
                </c:pt>
                <c:pt idx="58">
                  <c:v>0.36829999999999996</c:v>
                </c:pt>
                <c:pt idx="59">
                  <c:v>0.37464999999999998</c:v>
                </c:pt>
                <c:pt idx="60">
                  <c:v>0.38100000000000001</c:v>
                </c:pt>
                <c:pt idx="61">
                  <c:v>0.38734999999999997</c:v>
                </c:pt>
                <c:pt idx="62">
                  <c:v>0.39369999999999999</c:v>
                </c:pt>
                <c:pt idx="63">
                  <c:v>0.40004999999999996</c:v>
                </c:pt>
                <c:pt idx="64">
                  <c:v>0.40639999999999998</c:v>
                </c:pt>
                <c:pt idx="65">
                  <c:v>0.41275000000000001</c:v>
                </c:pt>
                <c:pt idx="66">
                  <c:v>0.41909999999999997</c:v>
                </c:pt>
                <c:pt idx="67">
                  <c:v>0.42544999999999999</c:v>
                </c:pt>
                <c:pt idx="68">
                  <c:v>0.43179999999999996</c:v>
                </c:pt>
                <c:pt idx="69">
                  <c:v>0.43814999999999998</c:v>
                </c:pt>
                <c:pt idx="70">
                  <c:v>0.44450000000000001</c:v>
                </c:pt>
                <c:pt idx="71">
                  <c:v>0.45084999999999997</c:v>
                </c:pt>
                <c:pt idx="72">
                  <c:v>0.4572</c:v>
                </c:pt>
                <c:pt idx="73">
                  <c:v>0.46354999999999996</c:v>
                </c:pt>
                <c:pt idx="74">
                  <c:v>0.46989999999999998</c:v>
                </c:pt>
                <c:pt idx="75">
                  <c:v>0.47625000000000001</c:v>
                </c:pt>
                <c:pt idx="76">
                  <c:v>0.48259999999999997</c:v>
                </c:pt>
                <c:pt idx="77">
                  <c:v>0.48895</c:v>
                </c:pt>
                <c:pt idx="78">
                  <c:v>0.49529999999999996</c:v>
                </c:pt>
                <c:pt idx="79">
                  <c:v>0.50164999999999993</c:v>
                </c:pt>
                <c:pt idx="80">
                  <c:v>0.50800000000000001</c:v>
                </c:pt>
                <c:pt idx="81">
                  <c:v>0.51434999999999997</c:v>
                </c:pt>
                <c:pt idx="82">
                  <c:v>0.52069999999999994</c:v>
                </c:pt>
                <c:pt idx="83">
                  <c:v>0.52705000000000002</c:v>
                </c:pt>
                <c:pt idx="84">
                  <c:v>0.53339999999999999</c:v>
                </c:pt>
                <c:pt idx="85">
                  <c:v>0.53974999999999995</c:v>
                </c:pt>
                <c:pt idx="86">
                  <c:v>0.54610000000000003</c:v>
                </c:pt>
                <c:pt idx="87">
                  <c:v>0.55245</c:v>
                </c:pt>
                <c:pt idx="88">
                  <c:v>0.55879999999999996</c:v>
                </c:pt>
                <c:pt idx="89">
                  <c:v>0.56514999999999993</c:v>
                </c:pt>
                <c:pt idx="90">
                  <c:v>0.57150000000000001</c:v>
                </c:pt>
                <c:pt idx="91">
                  <c:v>0.57784999999999997</c:v>
                </c:pt>
                <c:pt idx="92">
                  <c:v>0.58419999999999994</c:v>
                </c:pt>
                <c:pt idx="93">
                  <c:v>0.59055000000000002</c:v>
                </c:pt>
                <c:pt idx="94">
                  <c:v>0.59689999999999999</c:v>
                </c:pt>
                <c:pt idx="95">
                  <c:v>0.60324999999999995</c:v>
                </c:pt>
                <c:pt idx="96">
                  <c:v>0.60959999999999992</c:v>
                </c:pt>
              </c:numCache>
            </c:numRef>
          </c:xVal>
          <c:yVal>
            <c:numRef>
              <c:f>'Orange Bungees'!$AA$5:$AA$101</c:f>
              <c:numCache>
                <c:formatCode>General</c:formatCode>
                <c:ptCount val="97"/>
                <c:pt idx="0">
                  <c:v>0</c:v>
                </c:pt>
                <c:pt idx="1">
                  <c:v>0.4</c:v>
                </c:pt>
                <c:pt idx="2">
                  <c:v>0.8</c:v>
                </c:pt>
                <c:pt idx="3">
                  <c:v>1</c:v>
                </c:pt>
                <c:pt idx="4">
                  <c:v>1.2</c:v>
                </c:pt>
                <c:pt idx="5">
                  <c:v>1.4</c:v>
                </c:pt>
                <c:pt idx="6">
                  <c:v>1.6</c:v>
                </c:pt>
                <c:pt idx="7">
                  <c:v>2</c:v>
                </c:pt>
                <c:pt idx="8">
                  <c:v>2</c:v>
                </c:pt>
                <c:pt idx="9">
                  <c:v>2.4</c:v>
                </c:pt>
                <c:pt idx="10">
                  <c:v>2.6</c:v>
                </c:pt>
                <c:pt idx="11">
                  <c:v>2.8</c:v>
                </c:pt>
                <c:pt idx="12">
                  <c:v>3</c:v>
                </c:pt>
                <c:pt idx="13">
                  <c:v>3.2</c:v>
                </c:pt>
                <c:pt idx="14">
                  <c:v>3.4</c:v>
                </c:pt>
                <c:pt idx="15">
                  <c:v>3.6</c:v>
                </c:pt>
                <c:pt idx="16">
                  <c:v>3.6</c:v>
                </c:pt>
                <c:pt idx="17">
                  <c:v>3.8</c:v>
                </c:pt>
                <c:pt idx="18">
                  <c:v>4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</c:v>
                </c:pt>
                <c:pt idx="27">
                  <c:v>5.2</c:v>
                </c:pt>
                <c:pt idx="28">
                  <c:v>5.2</c:v>
                </c:pt>
                <c:pt idx="29">
                  <c:v>5.4</c:v>
                </c:pt>
                <c:pt idx="30">
                  <c:v>5.4</c:v>
                </c:pt>
                <c:pt idx="31">
                  <c:v>5.6</c:v>
                </c:pt>
                <c:pt idx="32">
                  <c:v>5.8</c:v>
                </c:pt>
                <c:pt idx="33">
                  <c:v>5.8</c:v>
                </c:pt>
                <c:pt idx="34">
                  <c:v>6</c:v>
                </c:pt>
                <c:pt idx="35">
                  <c:v>6</c:v>
                </c:pt>
                <c:pt idx="36">
                  <c:v>6.2</c:v>
                </c:pt>
                <c:pt idx="37">
                  <c:v>6.2</c:v>
                </c:pt>
                <c:pt idx="38">
                  <c:v>6.4</c:v>
                </c:pt>
                <c:pt idx="39">
                  <c:v>6.4</c:v>
                </c:pt>
                <c:pt idx="40">
                  <c:v>6.6</c:v>
                </c:pt>
                <c:pt idx="41">
                  <c:v>6.6</c:v>
                </c:pt>
                <c:pt idx="42">
                  <c:v>6.8</c:v>
                </c:pt>
                <c:pt idx="43">
                  <c:v>6.8</c:v>
                </c:pt>
                <c:pt idx="44">
                  <c:v>6.8</c:v>
                </c:pt>
                <c:pt idx="45">
                  <c:v>7</c:v>
                </c:pt>
                <c:pt idx="46">
                  <c:v>7.2</c:v>
                </c:pt>
                <c:pt idx="47">
                  <c:v>7.2</c:v>
                </c:pt>
                <c:pt idx="48">
                  <c:v>7.2</c:v>
                </c:pt>
                <c:pt idx="49">
                  <c:v>7.4</c:v>
                </c:pt>
                <c:pt idx="50">
                  <c:v>7.4</c:v>
                </c:pt>
                <c:pt idx="51">
                  <c:v>7.6</c:v>
                </c:pt>
                <c:pt idx="52">
                  <c:v>7.6</c:v>
                </c:pt>
                <c:pt idx="53">
                  <c:v>7.8</c:v>
                </c:pt>
                <c:pt idx="54">
                  <c:v>7.8</c:v>
                </c:pt>
                <c:pt idx="55">
                  <c:v>7.8</c:v>
                </c:pt>
                <c:pt idx="56">
                  <c:v>8</c:v>
                </c:pt>
                <c:pt idx="57">
                  <c:v>8</c:v>
                </c:pt>
                <c:pt idx="58">
                  <c:v>8.1999999999999993</c:v>
                </c:pt>
                <c:pt idx="59">
                  <c:v>8.1999999999999993</c:v>
                </c:pt>
                <c:pt idx="60">
                  <c:v>8.4</c:v>
                </c:pt>
                <c:pt idx="61">
                  <c:v>8.4</c:v>
                </c:pt>
                <c:pt idx="62">
                  <c:v>8.6</c:v>
                </c:pt>
                <c:pt idx="63">
                  <c:v>8.6</c:v>
                </c:pt>
                <c:pt idx="64">
                  <c:v>8.8000000000000007</c:v>
                </c:pt>
                <c:pt idx="65">
                  <c:v>8.8000000000000007</c:v>
                </c:pt>
                <c:pt idx="66">
                  <c:v>8.8000000000000007</c:v>
                </c:pt>
                <c:pt idx="67">
                  <c:v>9</c:v>
                </c:pt>
                <c:pt idx="68">
                  <c:v>9</c:v>
                </c:pt>
                <c:pt idx="69">
                  <c:v>9.1999999999999993</c:v>
                </c:pt>
                <c:pt idx="70">
                  <c:v>9.1999999999999993</c:v>
                </c:pt>
                <c:pt idx="71">
                  <c:v>9.4</c:v>
                </c:pt>
                <c:pt idx="72">
                  <c:v>9.4</c:v>
                </c:pt>
                <c:pt idx="73">
                  <c:v>9.6</c:v>
                </c:pt>
                <c:pt idx="74">
                  <c:v>9.6</c:v>
                </c:pt>
                <c:pt idx="75">
                  <c:v>9.8000000000000007</c:v>
                </c:pt>
                <c:pt idx="76">
                  <c:v>9.8000000000000007</c:v>
                </c:pt>
                <c:pt idx="77">
                  <c:v>9.8000000000000007</c:v>
                </c:pt>
                <c:pt idx="78">
                  <c:v>10</c:v>
                </c:pt>
                <c:pt idx="79">
                  <c:v>10</c:v>
                </c:pt>
                <c:pt idx="80">
                  <c:v>10.199999999999999</c:v>
                </c:pt>
                <c:pt idx="81">
                  <c:v>10.199999999999999</c:v>
                </c:pt>
                <c:pt idx="82">
                  <c:v>10.4</c:v>
                </c:pt>
                <c:pt idx="83">
                  <c:v>10.6</c:v>
                </c:pt>
                <c:pt idx="84">
                  <c:v>10.6</c:v>
                </c:pt>
                <c:pt idx="85">
                  <c:v>10.8</c:v>
                </c:pt>
                <c:pt idx="86">
                  <c:v>10.8</c:v>
                </c:pt>
                <c:pt idx="87">
                  <c:v>11</c:v>
                </c:pt>
                <c:pt idx="88">
                  <c:v>11</c:v>
                </c:pt>
                <c:pt idx="89">
                  <c:v>11.2</c:v>
                </c:pt>
                <c:pt idx="90">
                  <c:v>11.2</c:v>
                </c:pt>
                <c:pt idx="91">
                  <c:v>11.4</c:v>
                </c:pt>
                <c:pt idx="92">
                  <c:v>11.4</c:v>
                </c:pt>
                <c:pt idx="93">
                  <c:v>11.6</c:v>
                </c:pt>
                <c:pt idx="94">
                  <c:v>11.8</c:v>
                </c:pt>
                <c:pt idx="95">
                  <c:v>11.8</c:v>
                </c:pt>
                <c:pt idx="96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5B1-9048-87E1-327548DFE920}"/>
            </c:ext>
          </c:extLst>
        </c:ser>
        <c:ser>
          <c:idx val="5"/>
          <c:order val="5"/>
          <c:tx>
            <c:v>12 inch Extension 3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'Orange Bungees'!$AE$5:$AE$101</c:f>
              <c:numCache>
                <c:formatCode>General</c:formatCode>
                <c:ptCount val="97"/>
                <c:pt idx="0">
                  <c:v>0.30479999999999996</c:v>
                </c:pt>
                <c:pt idx="1">
                  <c:v>6.3499999999999997E-3</c:v>
                </c:pt>
                <c:pt idx="2">
                  <c:v>1.2699999999999999E-2</c:v>
                </c:pt>
                <c:pt idx="3">
                  <c:v>1.9049999999999997E-2</c:v>
                </c:pt>
                <c:pt idx="4">
                  <c:v>2.5399999999999999E-2</c:v>
                </c:pt>
                <c:pt idx="5">
                  <c:v>3.175E-2</c:v>
                </c:pt>
                <c:pt idx="6">
                  <c:v>3.8099999999999995E-2</c:v>
                </c:pt>
                <c:pt idx="7">
                  <c:v>4.4449999999999996E-2</c:v>
                </c:pt>
                <c:pt idx="8">
                  <c:v>5.0799999999999998E-2</c:v>
                </c:pt>
                <c:pt idx="9">
                  <c:v>5.7149999999999999E-2</c:v>
                </c:pt>
                <c:pt idx="10">
                  <c:v>6.3500000000000001E-2</c:v>
                </c:pt>
                <c:pt idx="11">
                  <c:v>6.9849999999999995E-2</c:v>
                </c:pt>
                <c:pt idx="12">
                  <c:v>7.619999999999999E-2</c:v>
                </c:pt>
                <c:pt idx="13">
                  <c:v>8.2549999999999998E-2</c:v>
                </c:pt>
                <c:pt idx="14">
                  <c:v>8.8899999999999993E-2</c:v>
                </c:pt>
                <c:pt idx="15">
                  <c:v>9.5250000000000001E-2</c:v>
                </c:pt>
                <c:pt idx="16">
                  <c:v>0.1016</c:v>
                </c:pt>
                <c:pt idx="17">
                  <c:v>0.10794999999999999</c:v>
                </c:pt>
                <c:pt idx="18">
                  <c:v>0.1143</c:v>
                </c:pt>
                <c:pt idx="19">
                  <c:v>0.12064999999999999</c:v>
                </c:pt>
                <c:pt idx="20">
                  <c:v>0.127</c:v>
                </c:pt>
                <c:pt idx="21">
                  <c:v>0.13335</c:v>
                </c:pt>
                <c:pt idx="22">
                  <c:v>0.13969999999999999</c:v>
                </c:pt>
                <c:pt idx="23">
                  <c:v>0.14604999999999999</c:v>
                </c:pt>
                <c:pt idx="24">
                  <c:v>0.15239999999999998</c:v>
                </c:pt>
                <c:pt idx="25">
                  <c:v>0.15875</c:v>
                </c:pt>
                <c:pt idx="26">
                  <c:v>0.1651</c:v>
                </c:pt>
                <c:pt idx="27">
                  <c:v>0.17144999999999999</c:v>
                </c:pt>
                <c:pt idx="28">
                  <c:v>0.17779999999999999</c:v>
                </c:pt>
                <c:pt idx="29">
                  <c:v>0.18414999999999998</c:v>
                </c:pt>
                <c:pt idx="30">
                  <c:v>0.1905</c:v>
                </c:pt>
                <c:pt idx="31">
                  <c:v>0.19685</c:v>
                </c:pt>
                <c:pt idx="32">
                  <c:v>0.20319999999999999</c:v>
                </c:pt>
                <c:pt idx="33">
                  <c:v>0.20954999999999999</c:v>
                </c:pt>
                <c:pt idx="34">
                  <c:v>0.21589999999999998</c:v>
                </c:pt>
                <c:pt idx="35">
                  <c:v>0.22225</c:v>
                </c:pt>
                <c:pt idx="36">
                  <c:v>0.2286</c:v>
                </c:pt>
                <c:pt idx="37">
                  <c:v>0.23494999999999999</c:v>
                </c:pt>
                <c:pt idx="38">
                  <c:v>0.24129999999999999</c:v>
                </c:pt>
                <c:pt idx="39">
                  <c:v>0.24764999999999998</c:v>
                </c:pt>
                <c:pt idx="40">
                  <c:v>0.254</c:v>
                </c:pt>
                <c:pt idx="41">
                  <c:v>0.26034999999999997</c:v>
                </c:pt>
                <c:pt idx="42">
                  <c:v>0.26669999999999999</c:v>
                </c:pt>
                <c:pt idx="43">
                  <c:v>0.27305000000000001</c:v>
                </c:pt>
                <c:pt idx="44">
                  <c:v>0.27939999999999998</c:v>
                </c:pt>
                <c:pt idx="45">
                  <c:v>0.28575</c:v>
                </c:pt>
                <c:pt idx="46">
                  <c:v>0.29209999999999997</c:v>
                </c:pt>
                <c:pt idx="47">
                  <c:v>0.29844999999999999</c:v>
                </c:pt>
                <c:pt idx="48">
                  <c:v>0.30479999999999996</c:v>
                </c:pt>
                <c:pt idx="49">
                  <c:v>0.31114999999999998</c:v>
                </c:pt>
                <c:pt idx="50">
                  <c:v>0.3175</c:v>
                </c:pt>
                <c:pt idx="51">
                  <c:v>0.32384999999999997</c:v>
                </c:pt>
                <c:pt idx="52">
                  <c:v>0.33019999999999999</c:v>
                </c:pt>
                <c:pt idx="53">
                  <c:v>0.33654999999999996</c:v>
                </c:pt>
                <c:pt idx="54">
                  <c:v>0.34289999999999998</c:v>
                </c:pt>
                <c:pt idx="55">
                  <c:v>0.34925</c:v>
                </c:pt>
                <c:pt idx="56">
                  <c:v>0.35559999999999997</c:v>
                </c:pt>
                <c:pt idx="57">
                  <c:v>0.36194999999999999</c:v>
                </c:pt>
                <c:pt idx="58">
                  <c:v>0.36829999999999996</c:v>
                </c:pt>
                <c:pt idx="59">
                  <c:v>0.37464999999999998</c:v>
                </c:pt>
                <c:pt idx="60">
                  <c:v>0.38100000000000001</c:v>
                </c:pt>
                <c:pt idx="61">
                  <c:v>0.38734999999999997</c:v>
                </c:pt>
                <c:pt idx="62">
                  <c:v>0.39369999999999999</c:v>
                </c:pt>
                <c:pt idx="63">
                  <c:v>0.40004999999999996</c:v>
                </c:pt>
                <c:pt idx="64">
                  <c:v>0.40639999999999998</c:v>
                </c:pt>
                <c:pt idx="65">
                  <c:v>0.41275000000000001</c:v>
                </c:pt>
                <c:pt idx="66">
                  <c:v>0.41909999999999997</c:v>
                </c:pt>
                <c:pt idx="67">
                  <c:v>0.42544999999999999</c:v>
                </c:pt>
                <c:pt idx="68">
                  <c:v>0.43179999999999996</c:v>
                </c:pt>
                <c:pt idx="69">
                  <c:v>0.43814999999999998</c:v>
                </c:pt>
                <c:pt idx="70">
                  <c:v>0.44450000000000001</c:v>
                </c:pt>
                <c:pt idx="71">
                  <c:v>0.45084999999999997</c:v>
                </c:pt>
                <c:pt idx="72">
                  <c:v>0.4572</c:v>
                </c:pt>
                <c:pt idx="73">
                  <c:v>0.46354999999999996</c:v>
                </c:pt>
                <c:pt idx="74">
                  <c:v>0.46989999999999998</c:v>
                </c:pt>
                <c:pt idx="75">
                  <c:v>0.47625000000000001</c:v>
                </c:pt>
                <c:pt idx="76">
                  <c:v>0.48259999999999997</c:v>
                </c:pt>
                <c:pt idx="77">
                  <c:v>0.48895</c:v>
                </c:pt>
                <c:pt idx="78">
                  <c:v>0.49529999999999996</c:v>
                </c:pt>
                <c:pt idx="79">
                  <c:v>0.50164999999999993</c:v>
                </c:pt>
                <c:pt idx="80">
                  <c:v>0.50800000000000001</c:v>
                </c:pt>
                <c:pt idx="81">
                  <c:v>0.51434999999999997</c:v>
                </c:pt>
                <c:pt idx="82">
                  <c:v>0.52069999999999994</c:v>
                </c:pt>
                <c:pt idx="83">
                  <c:v>0.52705000000000002</c:v>
                </c:pt>
                <c:pt idx="84">
                  <c:v>0.53339999999999999</c:v>
                </c:pt>
                <c:pt idx="85">
                  <c:v>0.53974999999999995</c:v>
                </c:pt>
                <c:pt idx="86">
                  <c:v>0.54610000000000003</c:v>
                </c:pt>
                <c:pt idx="87">
                  <c:v>0.55245</c:v>
                </c:pt>
                <c:pt idx="88">
                  <c:v>0.55879999999999996</c:v>
                </c:pt>
                <c:pt idx="89">
                  <c:v>0.56514999999999993</c:v>
                </c:pt>
                <c:pt idx="90">
                  <c:v>0.57150000000000001</c:v>
                </c:pt>
                <c:pt idx="91">
                  <c:v>0.57784999999999997</c:v>
                </c:pt>
                <c:pt idx="92">
                  <c:v>0.58419999999999994</c:v>
                </c:pt>
                <c:pt idx="93">
                  <c:v>0.59055000000000002</c:v>
                </c:pt>
                <c:pt idx="94">
                  <c:v>0.59689999999999999</c:v>
                </c:pt>
                <c:pt idx="95">
                  <c:v>0.60324999999999995</c:v>
                </c:pt>
                <c:pt idx="96">
                  <c:v>0.60959999999999992</c:v>
                </c:pt>
              </c:numCache>
            </c:numRef>
          </c:xVal>
          <c:yVal>
            <c:numRef>
              <c:f>'Orange Bungees'!$AF$5:$AF$101</c:f>
              <c:numCache>
                <c:formatCode>General</c:formatCode>
                <c:ptCount val="97"/>
                <c:pt idx="0">
                  <c:v>0</c:v>
                </c:pt>
                <c:pt idx="1">
                  <c:v>0.6</c:v>
                </c:pt>
                <c:pt idx="2">
                  <c:v>1</c:v>
                </c:pt>
                <c:pt idx="3">
                  <c:v>1.2</c:v>
                </c:pt>
                <c:pt idx="4">
                  <c:v>1.4</c:v>
                </c:pt>
                <c:pt idx="5">
                  <c:v>1.4</c:v>
                </c:pt>
                <c:pt idx="6">
                  <c:v>1.8</c:v>
                </c:pt>
                <c:pt idx="7">
                  <c:v>2</c:v>
                </c:pt>
                <c:pt idx="8">
                  <c:v>2.2000000000000002</c:v>
                </c:pt>
                <c:pt idx="9">
                  <c:v>2.4</c:v>
                </c:pt>
                <c:pt idx="10">
                  <c:v>2.6</c:v>
                </c:pt>
                <c:pt idx="11">
                  <c:v>2.8</c:v>
                </c:pt>
                <c:pt idx="12">
                  <c:v>3</c:v>
                </c:pt>
                <c:pt idx="13">
                  <c:v>3.2</c:v>
                </c:pt>
                <c:pt idx="14">
                  <c:v>3.4</c:v>
                </c:pt>
                <c:pt idx="15">
                  <c:v>3.6</c:v>
                </c:pt>
                <c:pt idx="16">
                  <c:v>3.6</c:v>
                </c:pt>
                <c:pt idx="17">
                  <c:v>3.8</c:v>
                </c:pt>
                <c:pt idx="18">
                  <c:v>4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5.2</c:v>
                </c:pt>
                <c:pt idx="29">
                  <c:v>5.4</c:v>
                </c:pt>
                <c:pt idx="30">
                  <c:v>5.4</c:v>
                </c:pt>
                <c:pt idx="31">
                  <c:v>5.6</c:v>
                </c:pt>
                <c:pt idx="32">
                  <c:v>5.6</c:v>
                </c:pt>
                <c:pt idx="33">
                  <c:v>5.8</c:v>
                </c:pt>
                <c:pt idx="34">
                  <c:v>5.8</c:v>
                </c:pt>
                <c:pt idx="35">
                  <c:v>6</c:v>
                </c:pt>
                <c:pt idx="36">
                  <c:v>6.2</c:v>
                </c:pt>
                <c:pt idx="37">
                  <c:v>6.2</c:v>
                </c:pt>
                <c:pt idx="38">
                  <c:v>6.2</c:v>
                </c:pt>
                <c:pt idx="39">
                  <c:v>6.4</c:v>
                </c:pt>
                <c:pt idx="40">
                  <c:v>6.6</c:v>
                </c:pt>
                <c:pt idx="41">
                  <c:v>6.6</c:v>
                </c:pt>
                <c:pt idx="42">
                  <c:v>6.6</c:v>
                </c:pt>
                <c:pt idx="43">
                  <c:v>6.8</c:v>
                </c:pt>
                <c:pt idx="44">
                  <c:v>6.8</c:v>
                </c:pt>
                <c:pt idx="45">
                  <c:v>7</c:v>
                </c:pt>
                <c:pt idx="46">
                  <c:v>7</c:v>
                </c:pt>
                <c:pt idx="47">
                  <c:v>7.2</c:v>
                </c:pt>
                <c:pt idx="48">
                  <c:v>7.2</c:v>
                </c:pt>
                <c:pt idx="49">
                  <c:v>7.4</c:v>
                </c:pt>
                <c:pt idx="50">
                  <c:v>7.4</c:v>
                </c:pt>
                <c:pt idx="51">
                  <c:v>7.6</c:v>
                </c:pt>
                <c:pt idx="52">
                  <c:v>7.6</c:v>
                </c:pt>
                <c:pt idx="53">
                  <c:v>7.8</c:v>
                </c:pt>
                <c:pt idx="54">
                  <c:v>7.8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8.1999999999999993</c:v>
                </c:pt>
                <c:pt idx="59">
                  <c:v>8.1999999999999993</c:v>
                </c:pt>
                <c:pt idx="60">
                  <c:v>8.1999999999999993</c:v>
                </c:pt>
                <c:pt idx="61">
                  <c:v>8.4</c:v>
                </c:pt>
                <c:pt idx="62">
                  <c:v>8.4</c:v>
                </c:pt>
                <c:pt idx="63">
                  <c:v>8.6</c:v>
                </c:pt>
                <c:pt idx="64">
                  <c:v>8.6</c:v>
                </c:pt>
                <c:pt idx="65">
                  <c:v>8.8000000000000007</c:v>
                </c:pt>
                <c:pt idx="66">
                  <c:v>8.8000000000000007</c:v>
                </c:pt>
                <c:pt idx="67">
                  <c:v>8.8000000000000007</c:v>
                </c:pt>
                <c:pt idx="68">
                  <c:v>9</c:v>
                </c:pt>
                <c:pt idx="69">
                  <c:v>9</c:v>
                </c:pt>
                <c:pt idx="70">
                  <c:v>9.1999999999999993</c:v>
                </c:pt>
                <c:pt idx="71">
                  <c:v>9.1999999999999993</c:v>
                </c:pt>
                <c:pt idx="72">
                  <c:v>9.4</c:v>
                </c:pt>
                <c:pt idx="73">
                  <c:v>9.4</c:v>
                </c:pt>
                <c:pt idx="74">
                  <c:v>9.6</c:v>
                </c:pt>
                <c:pt idx="75">
                  <c:v>9.6</c:v>
                </c:pt>
                <c:pt idx="76">
                  <c:v>9.8000000000000007</c:v>
                </c:pt>
                <c:pt idx="77">
                  <c:v>9.8000000000000007</c:v>
                </c:pt>
                <c:pt idx="78">
                  <c:v>10</c:v>
                </c:pt>
                <c:pt idx="79">
                  <c:v>10</c:v>
                </c:pt>
                <c:pt idx="80">
                  <c:v>10.199999999999999</c:v>
                </c:pt>
                <c:pt idx="81">
                  <c:v>10.199999999999999</c:v>
                </c:pt>
                <c:pt idx="82">
                  <c:v>10.4</c:v>
                </c:pt>
                <c:pt idx="83">
                  <c:v>10.4</c:v>
                </c:pt>
                <c:pt idx="84">
                  <c:v>10.4</c:v>
                </c:pt>
                <c:pt idx="85">
                  <c:v>10.6</c:v>
                </c:pt>
                <c:pt idx="86">
                  <c:v>10.8</c:v>
                </c:pt>
                <c:pt idx="87">
                  <c:v>10.8</c:v>
                </c:pt>
                <c:pt idx="88">
                  <c:v>11</c:v>
                </c:pt>
                <c:pt idx="89">
                  <c:v>11</c:v>
                </c:pt>
                <c:pt idx="90">
                  <c:v>11.2</c:v>
                </c:pt>
                <c:pt idx="91">
                  <c:v>11.2</c:v>
                </c:pt>
                <c:pt idx="92">
                  <c:v>11.4</c:v>
                </c:pt>
                <c:pt idx="93">
                  <c:v>11.6</c:v>
                </c:pt>
                <c:pt idx="94">
                  <c:v>11.6</c:v>
                </c:pt>
                <c:pt idx="95">
                  <c:v>11.6</c:v>
                </c:pt>
                <c:pt idx="96">
                  <c:v>11.8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5B1-9048-87E1-327548DFE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932143"/>
        <c:axId val="259925183"/>
      </c:scatterChart>
      <c:valAx>
        <c:axId val="25993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Length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925183"/>
        <c:crosses val="autoZero"/>
        <c:crossBetween val="midCat"/>
      </c:valAx>
      <c:valAx>
        <c:axId val="25992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Force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932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522936032576062E-2"/>
          <c:y val="0.93929483357661214"/>
          <c:w val="0.98747706396742396"/>
          <c:h val="6.07051664233876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573151821495462E-2"/>
          <c:y val="6.1916238731028188E-2"/>
          <c:w val="0.88705796150481186"/>
          <c:h val="0.84204505686789155"/>
        </c:manualLayout>
      </c:layout>
      <c:scatterChart>
        <c:scatterStyle val="lineMarker"/>
        <c:varyColors val="0"/>
        <c:ser>
          <c:idx val="0"/>
          <c:order val="0"/>
          <c:tx>
            <c:strRef>
              <c:f>'Orange Bungees'!$E$3</c:f>
              <c:strCache>
                <c:ptCount val="1"/>
                <c:pt idx="0">
                  <c:v>Force 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'Orange Bungees'!$D$4:$D$53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1.0416666666666667</c:v>
                </c:pt>
                <c:pt idx="3">
                  <c:v>1.0833333333333335</c:v>
                </c:pt>
                <c:pt idx="4">
                  <c:v>1.125</c:v>
                </c:pt>
                <c:pt idx="5">
                  <c:v>1.1666666666666667</c:v>
                </c:pt>
                <c:pt idx="6">
                  <c:v>1.2083333333333333</c:v>
                </c:pt>
                <c:pt idx="7">
                  <c:v>1.2500000000000002</c:v>
                </c:pt>
                <c:pt idx="8">
                  <c:v>1.2916666666666667</c:v>
                </c:pt>
                <c:pt idx="9">
                  <c:v>1.3333333333333335</c:v>
                </c:pt>
                <c:pt idx="10">
                  <c:v>1.375</c:v>
                </c:pt>
                <c:pt idx="11">
                  <c:v>1.4166666666666667</c:v>
                </c:pt>
                <c:pt idx="12">
                  <c:v>1.4583333333333335</c:v>
                </c:pt>
                <c:pt idx="13">
                  <c:v>1.5000000000000002</c:v>
                </c:pt>
                <c:pt idx="14">
                  <c:v>1.5416666666666667</c:v>
                </c:pt>
                <c:pt idx="15">
                  <c:v>1.5833333333333335</c:v>
                </c:pt>
                <c:pt idx="16">
                  <c:v>1.625</c:v>
                </c:pt>
                <c:pt idx="17">
                  <c:v>1.666666666666667</c:v>
                </c:pt>
                <c:pt idx="18">
                  <c:v>1.7083333333333333</c:v>
                </c:pt>
                <c:pt idx="19">
                  <c:v>1.7500000000000002</c:v>
                </c:pt>
                <c:pt idx="20">
                  <c:v>1.791666666666667</c:v>
                </c:pt>
                <c:pt idx="21">
                  <c:v>1.8333333333333335</c:v>
                </c:pt>
                <c:pt idx="22">
                  <c:v>1.8750000000000002</c:v>
                </c:pt>
                <c:pt idx="23">
                  <c:v>1.9166666666666667</c:v>
                </c:pt>
                <c:pt idx="24">
                  <c:v>1.9583333333333335</c:v>
                </c:pt>
                <c:pt idx="25">
                  <c:v>2</c:v>
                </c:pt>
                <c:pt idx="26">
                  <c:v>2.041666666666667</c:v>
                </c:pt>
                <c:pt idx="27">
                  <c:v>2.0833333333333335</c:v>
                </c:pt>
                <c:pt idx="28">
                  <c:v>2.125</c:v>
                </c:pt>
                <c:pt idx="29">
                  <c:v>2.166666666666667</c:v>
                </c:pt>
                <c:pt idx="30">
                  <c:v>2.2083333333333335</c:v>
                </c:pt>
                <c:pt idx="31">
                  <c:v>2.25</c:v>
                </c:pt>
                <c:pt idx="32">
                  <c:v>2.291666666666667</c:v>
                </c:pt>
                <c:pt idx="33">
                  <c:v>2.3333333333333335</c:v>
                </c:pt>
                <c:pt idx="34">
                  <c:v>2.3750000000000004</c:v>
                </c:pt>
                <c:pt idx="35">
                  <c:v>2.4166666666666665</c:v>
                </c:pt>
                <c:pt idx="36">
                  <c:v>2.4583333333333335</c:v>
                </c:pt>
                <c:pt idx="37">
                  <c:v>2.5000000000000004</c:v>
                </c:pt>
                <c:pt idx="38">
                  <c:v>2.541666666666667</c:v>
                </c:pt>
                <c:pt idx="39">
                  <c:v>2.5833333333333335</c:v>
                </c:pt>
                <c:pt idx="40">
                  <c:v>2.625</c:v>
                </c:pt>
                <c:pt idx="41">
                  <c:v>2.666666666666667</c:v>
                </c:pt>
                <c:pt idx="42">
                  <c:v>2.7083333333333339</c:v>
                </c:pt>
                <c:pt idx="43">
                  <c:v>2.75</c:v>
                </c:pt>
                <c:pt idx="44">
                  <c:v>2.791666666666667</c:v>
                </c:pt>
                <c:pt idx="45">
                  <c:v>2.8333333333333335</c:v>
                </c:pt>
                <c:pt idx="46">
                  <c:v>2.8750000000000004</c:v>
                </c:pt>
                <c:pt idx="47">
                  <c:v>2.916666666666667</c:v>
                </c:pt>
                <c:pt idx="48">
                  <c:v>2.9583333333333335</c:v>
                </c:pt>
                <c:pt idx="49">
                  <c:v>3.0000000000000004</c:v>
                </c:pt>
              </c:numCache>
            </c:numRef>
          </c:xVal>
          <c:yVal>
            <c:numRef>
              <c:f>'Orange Bungees'!$J$4:$J$53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0.6</c:v>
                </c:pt>
                <c:pt idx="3">
                  <c:v>1</c:v>
                </c:pt>
                <c:pt idx="4">
                  <c:v>1.4</c:v>
                </c:pt>
                <c:pt idx="5">
                  <c:v>2</c:v>
                </c:pt>
                <c:pt idx="6">
                  <c:v>2.4</c:v>
                </c:pt>
                <c:pt idx="7">
                  <c:v>2.8</c:v>
                </c:pt>
                <c:pt idx="8">
                  <c:v>3.2</c:v>
                </c:pt>
                <c:pt idx="9">
                  <c:v>3.6</c:v>
                </c:pt>
                <c:pt idx="10">
                  <c:v>3.8</c:v>
                </c:pt>
                <c:pt idx="11">
                  <c:v>4.2</c:v>
                </c:pt>
                <c:pt idx="12">
                  <c:v>4.4000000000000004</c:v>
                </c:pt>
                <c:pt idx="13">
                  <c:v>4.5999999999999996</c:v>
                </c:pt>
                <c:pt idx="14">
                  <c:v>5</c:v>
                </c:pt>
                <c:pt idx="15">
                  <c:v>5.2</c:v>
                </c:pt>
                <c:pt idx="16">
                  <c:v>5.4</c:v>
                </c:pt>
                <c:pt idx="17">
                  <c:v>5.6</c:v>
                </c:pt>
                <c:pt idx="18">
                  <c:v>5.8</c:v>
                </c:pt>
                <c:pt idx="19">
                  <c:v>6</c:v>
                </c:pt>
                <c:pt idx="20">
                  <c:v>6.2</c:v>
                </c:pt>
                <c:pt idx="21">
                  <c:v>6.4</c:v>
                </c:pt>
                <c:pt idx="22">
                  <c:v>6.6</c:v>
                </c:pt>
                <c:pt idx="23">
                  <c:v>6.8</c:v>
                </c:pt>
                <c:pt idx="24">
                  <c:v>7</c:v>
                </c:pt>
                <c:pt idx="25">
                  <c:v>7.2</c:v>
                </c:pt>
                <c:pt idx="26">
                  <c:v>7.4</c:v>
                </c:pt>
                <c:pt idx="27">
                  <c:v>7.6</c:v>
                </c:pt>
                <c:pt idx="28">
                  <c:v>7.8</c:v>
                </c:pt>
                <c:pt idx="29">
                  <c:v>8</c:v>
                </c:pt>
                <c:pt idx="30">
                  <c:v>8</c:v>
                </c:pt>
                <c:pt idx="31">
                  <c:v>8.4</c:v>
                </c:pt>
                <c:pt idx="32">
                  <c:v>8.6</c:v>
                </c:pt>
                <c:pt idx="33">
                  <c:v>8.6</c:v>
                </c:pt>
                <c:pt idx="34">
                  <c:v>8.8000000000000007</c:v>
                </c:pt>
                <c:pt idx="35">
                  <c:v>9</c:v>
                </c:pt>
                <c:pt idx="36">
                  <c:v>9.1999999999999993</c:v>
                </c:pt>
                <c:pt idx="37">
                  <c:v>9.4</c:v>
                </c:pt>
                <c:pt idx="38">
                  <c:v>9.6</c:v>
                </c:pt>
                <c:pt idx="39">
                  <c:v>9.8000000000000007</c:v>
                </c:pt>
                <c:pt idx="40">
                  <c:v>10</c:v>
                </c:pt>
                <c:pt idx="41">
                  <c:v>10.199999999999999</c:v>
                </c:pt>
                <c:pt idx="42">
                  <c:v>10.4</c:v>
                </c:pt>
                <c:pt idx="43">
                  <c:v>10.6</c:v>
                </c:pt>
                <c:pt idx="44">
                  <c:v>10.8</c:v>
                </c:pt>
                <c:pt idx="45">
                  <c:v>11</c:v>
                </c:pt>
                <c:pt idx="46">
                  <c:v>11.2</c:v>
                </c:pt>
                <c:pt idx="47">
                  <c:v>11.4</c:v>
                </c:pt>
                <c:pt idx="48">
                  <c:v>11.6</c:v>
                </c:pt>
                <c:pt idx="49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EE-4A48-8BB9-AF4AE38FE42B}"/>
            </c:ext>
          </c:extLst>
        </c:ser>
        <c:ser>
          <c:idx val="1"/>
          <c:order val="1"/>
          <c:tx>
            <c:strRef>
              <c:f>'Orange Bungees'!$E$3</c:f>
              <c:strCache>
                <c:ptCount val="1"/>
                <c:pt idx="0">
                  <c:v>Force (N)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'Orange Bungees'!$D$4:$D$53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1.0416666666666667</c:v>
                </c:pt>
                <c:pt idx="3">
                  <c:v>1.0833333333333335</c:v>
                </c:pt>
                <c:pt idx="4">
                  <c:v>1.125</c:v>
                </c:pt>
                <c:pt idx="5">
                  <c:v>1.1666666666666667</c:v>
                </c:pt>
                <c:pt idx="6">
                  <c:v>1.2083333333333333</c:v>
                </c:pt>
                <c:pt idx="7">
                  <c:v>1.2500000000000002</c:v>
                </c:pt>
                <c:pt idx="8">
                  <c:v>1.2916666666666667</c:v>
                </c:pt>
                <c:pt idx="9">
                  <c:v>1.3333333333333335</c:v>
                </c:pt>
                <c:pt idx="10">
                  <c:v>1.375</c:v>
                </c:pt>
                <c:pt idx="11">
                  <c:v>1.4166666666666667</c:v>
                </c:pt>
                <c:pt idx="12">
                  <c:v>1.4583333333333335</c:v>
                </c:pt>
                <c:pt idx="13">
                  <c:v>1.5000000000000002</c:v>
                </c:pt>
                <c:pt idx="14">
                  <c:v>1.5416666666666667</c:v>
                </c:pt>
                <c:pt idx="15">
                  <c:v>1.5833333333333335</c:v>
                </c:pt>
                <c:pt idx="16">
                  <c:v>1.625</c:v>
                </c:pt>
                <c:pt idx="17">
                  <c:v>1.666666666666667</c:v>
                </c:pt>
                <c:pt idx="18">
                  <c:v>1.7083333333333333</c:v>
                </c:pt>
                <c:pt idx="19">
                  <c:v>1.7500000000000002</c:v>
                </c:pt>
                <c:pt idx="20">
                  <c:v>1.791666666666667</c:v>
                </c:pt>
                <c:pt idx="21">
                  <c:v>1.8333333333333335</c:v>
                </c:pt>
                <c:pt idx="22">
                  <c:v>1.8750000000000002</c:v>
                </c:pt>
                <c:pt idx="23">
                  <c:v>1.9166666666666667</c:v>
                </c:pt>
                <c:pt idx="24">
                  <c:v>1.9583333333333335</c:v>
                </c:pt>
                <c:pt idx="25">
                  <c:v>2</c:v>
                </c:pt>
                <c:pt idx="26">
                  <c:v>2.041666666666667</c:v>
                </c:pt>
                <c:pt idx="27">
                  <c:v>2.0833333333333335</c:v>
                </c:pt>
                <c:pt idx="28">
                  <c:v>2.125</c:v>
                </c:pt>
                <c:pt idx="29">
                  <c:v>2.166666666666667</c:v>
                </c:pt>
                <c:pt idx="30">
                  <c:v>2.2083333333333335</c:v>
                </c:pt>
                <c:pt idx="31">
                  <c:v>2.25</c:v>
                </c:pt>
                <c:pt idx="32">
                  <c:v>2.291666666666667</c:v>
                </c:pt>
                <c:pt idx="33">
                  <c:v>2.3333333333333335</c:v>
                </c:pt>
                <c:pt idx="34">
                  <c:v>2.3750000000000004</c:v>
                </c:pt>
                <c:pt idx="35">
                  <c:v>2.4166666666666665</c:v>
                </c:pt>
                <c:pt idx="36">
                  <c:v>2.4583333333333335</c:v>
                </c:pt>
                <c:pt idx="37">
                  <c:v>2.5000000000000004</c:v>
                </c:pt>
                <c:pt idx="38">
                  <c:v>2.541666666666667</c:v>
                </c:pt>
                <c:pt idx="39">
                  <c:v>2.5833333333333335</c:v>
                </c:pt>
                <c:pt idx="40">
                  <c:v>2.625</c:v>
                </c:pt>
                <c:pt idx="41">
                  <c:v>2.666666666666667</c:v>
                </c:pt>
                <c:pt idx="42">
                  <c:v>2.7083333333333339</c:v>
                </c:pt>
                <c:pt idx="43">
                  <c:v>2.75</c:v>
                </c:pt>
                <c:pt idx="44">
                  <c:v>2.791666666666667</c:v>
                </c:pt>
                <c:pt idx="45">
                  <c:v>2.8333333333333335</c:v>
                </c:pt>
                <c:pt idx="46">
                  <c:v>2.8750000000000004</c:v>
                </c:pt>
                <c:pt idx="47">
                  <c:v>2.916666666666667</c:v>
                </c:pt>
                <c:pt idx="48">
                  <c:v>2.9583333333333335</c:v>
                </c:pt>
                <c:pt idx="49">
                  <c:v>3.0000000000000004</c:v>
                </c:pt>
              </c:numCache>
            </c:numRef>
          </c:xVal>
          <c:yVal>
            <c:numRef>
              <c:f>'Orange Bungees'!$E$4:$E$53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1.4</c:v>
                </c:pt>
                <c:pt idx="4">
                  <c:v>2.2000000000000002</c:v>
                </c:pt>
                <c:pt idx="5">
                  <c:v>2.2000000000000002</c:v>
                </c:pt>
                <c:pt idx="6">
                  <c:v>2.8</c:v>
                </c:pt>
                <c:pt idx="7">
                  <c:v>3</c:v>
                </c:pt>
                <c:pt idx="8">
                  <c:v>3.6</c:v>
                </c:pt>
                <c:pt idx="9">
                  <c:v>4</c:v>
                </c:pt>
                <c:pt idx="10">
                  <c:v>4.2</c:v>
                </c:pt>
                <c:pt idx="11">
                  <c:v>4.5999999999999996</c:v>
                </c:pt>
                <c:pt idx="12">
                  <c:v>4.8</c:v>
                </c:pt>
                <c:pt idx="13">
                  <c:v>5</c:v>
                </c:pt>
                <c:pt idx="14">
                  <c:v>5.2</c:v>
                </c:pt>
                <c:pt idx="15">
                  <c:v>5.6</c:v>
                </c:pt>
                <c:pt idx="16">
                  <c:v>5.8</c:v>
                </c:pt>
                <c:pt idx="17">
                  <c:v>6</c:v>
                </c:pt>
                <c:pt idx="18">
                  <c:v>6.2</c:v>
                </c:pt>
                <c:pt idx="19">
                  <c:v>6.4</c:v>
                </c:pt>
                <c:pt idx="20">
                  <c:v>6.6</c:v>
                </c:pt>
                <c:pt idx="21">
                  <c:v>6.8</c:v>
                </c:pt>
                <c:pt idx="22">
                  <c:v>6.8</c:v>
                </c:pt>
                <c:pt idx="23">
                  <c:v>7.2</c:v>
                </c:pt>
                <c:pt idx="24">
                  <c:v>7.4</c:v>
                </c:pt>
                <c:pt idx="25">
                  <c:v>7.6</c:v>
                </c:pt>
                <c:pt idx="26">
                  <c:v>7.6</c:v>
                </c:pt>
                <c:pt idx="27">
                  <c:v>7.8</c:v>
                </c:pt>
                <c:pt idx="28">
                  <c:v>8.1999999999999993</c:v>
                </c:pt>
                <c:pt idx="29">
                  <c:v>8.4</c:v>
                </c:pt>
                <c:pt idx="30">
                  <c:v>8.6</c:v>
                </c:pt>
                <c:pt idx="31">
                  <c:v>8.6</c:v>
                </c:pt>
                <c:pt idx="32">
                  <c:v>8.8000000000000007</c:v>
                </c:pt>
                <c:pt idx="33">
                  <c:v>9</c:v>
                </c:pt>
                <c:pt idx="34">
                  <c:v>9.1999999999999993</c:v>
                </c:pt>
                <c:pt idx="35">
                  <c:v>9.4</c:v>
                </c:pt>
                <c:pt idx="36">
                  <c:v>9.8000000000000007</c:v>
                </c:pt>
                <c:pt idx="37">
                  <c:v>9.8000000000000007</c:v>
                </c:pt>
                <c:pt idx="38">
                  <c:v>10</c:v>
                </c:pt>
                <c:pt idx="39">
                  <c:v>10.4</c:v>
                </c:pt>
                <c:pt idx="40">
                  <c:v>10.4</c:v>
                </c:pt>
                <c:pt idx="41">
                  <c:v>10.8</c:v>
                </c:pt>
                <c:pt idx="42">
                  <c:v>10.8</c:v>
                </c:pt>
                <c:pt idx="43">
                  <c:v>11.2</c:v>
                </c:pt>
                <c:pt idx="44">
                  <c:v>11.4</c:v>
                </c:pt>
                <c:pt idx="45">
                  <c:v>11.6</c:v>
                </c:pt>
                <c:pt idx="46">
                  <c:v>11.8</c:v>
                </c:pt>
                <c:pt idx="47">
                  <c:v>12</c:v>
                </c:pt>
                <c:pt idx="48">
                  <c:v>12.4</c:v>
                </c:pt>
                <c:pt idx="49">
                  <c:v>12.4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EE-4A48-8BB9-AF4AE38FE42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'Orange Bungees'!$D$4:$D$53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1.0416666666666667</c:v>
                </c:pt>
                <c:pt idx="3">
                  <c:v>1.0833333333333335</c:v>
                </c:pt>
                <c:pt idx="4">
                  <c:v>1.125</c:v>
                </c:pt>
                <c:pt idx="5">
                  <c:v>1.1666666666666667</c:v>
                </c:pt>
                <c:pt idx="6">
                  <c:v>1.2083333333333333</c:v>
                </c:pt>
                <c:pt idx="7">
                  <c:v>1.2500000000000002</c:v>
                </c:pt>
                <c:pt idx="8">
                  <c:v>1.2916666666666667</c:v>
                </c:pt>
                <c:pt idx="9">
                  <c:v>1.3333333333333335</c:v>
                </c:pt>
                <c:pt idx="10">
                  <c:v>1.375</c:v>
                </c:pt>
                <c:pt idx="11">
                  <c:v>1.4166666666666667</c:v>
                </c:pt>
                <c:pt idx="12">
                  <c:v>1.4583333333333335</c:v>
                </c:pt>
                <c:pt idx="13">
                  <c:v>1.5000000000000002</c:v>
                </c:pt>
                <c:pt idx="14">
                  <c:v>1.5416666666666667</c:v>
                </c:pt>
                <c:pt idx="15">
                  <c:v>1.5833333333333335</c:v>
                </c:pt>
                <c:pt idx="16">
                  <c:v>1.625</c:v>
                </c:pt>
                <c:pt idx="17">
                  <c:v>1.666666666666667</c:v>
                </c:pt>
                <c:pt idx="18">
                  <c:v>1.7083333333333333</c:v>
                </c:pt>
                <c:pt idx="19">
                  <c:v>1.7500000000000002</c:v>
                </c:pt>
                <c:pt idx="20">
                  <c:v>1.791666666666667</c:v>
                </c:pt>
                <c:pt idx="21">
                  <c:v>1.8333333333333335</c:v>
                </c:pt>
                <c:pt idx="22">
                  <c:v>1.8750000000000002</c:v>
                </c:pt>
                <c:pt idx="23">
                  <c:v>1.9166666666666667</c:v>
                </c:pt>
                <c:pt idx="24">
                  <c:v>1.9583333333333335</c:v>
                </c:pt>
                <c:pt idx="25">
                  <c:v>2</c:v>
                </c:pt>
                <c:pt idx="26">
                  <c:v>2.041666666666667</c:v>
                </c:pt>
                <c:pt idx="27">
                  <c:v>2.0833333333333335</c:v>
                </c:pt>
                <c:pt idx="28">
                  <c:v>2.125</c:v>
                </c:pt>
                <c:pt idx="29">
                  <c:v>2.166666666666667</c:v>
                </c:pt>
                <c:pt idx="30">
                  <c:v>2.2083333333333335</c:v>
                </c:pt>
                <c:pt idx="31">
                  <c:v>2.25</c:v>
                </c:pt>
                <c:pt idx="32">
                  <c:v>2.291666666666667</c:v>
                </c:pt>
                <c:pt idx="33">
                  <c:v>2.3333333333333335</c:v>
                </c:pt>
                <c:pt idx="34">
                  <c:v>2.3750000000000004</c:v>
                </c:pt>
                <c:pt idx="35">
                  <c:v>2.4166666666666665</c:v>
                </c:pt>
                <c:pt idx="36">
                  <c:v>2.4583333333333335</c:v>
                </c:pt>
                <c:pt idx="37">
                  <c:v>2.5000000000000004</c:v>
                </c:pt>
                <c:pt idx="38">
                  <c:v>2.541666666666667</c:v>
                </c:pt>
                <c:pt idx="39">
                  <c:v>2.5833333333333335</c:v>
                </c:pt>
                <c:pt idx="40">
                  <c:v>2.625</c:v>
                </c:pt>
                <c:pt idx="41">
                  <c:v>2.666666666666667</c:v>
                </c:pt>
                <c:pt idx="42">
                  <c:v>2.7083333333333339</c:v>
                </c:pt>
                <c:pt idx="43">
                  <c:v>2.75</c:v>
                </c:pt>
                <c:pt idx="44">
                  <c:v>2.791666666666667</c:v>
                </c:pt>
                <c:pt idx="45">
                  <c:v>2.8333333333333335</c:v>
                </c:pt>
                <c:pt idx="46">
                  <c:v>2.8750000000000004</c:v>
                </c:pt>
                <c:pt idx="47">
                  <c:v>2.916666666666667</c:v>
                </c:pt>
                <c:pt idx="48">
                  <c:v>2.9583333333333335</c:v>
                </c:pt>
                <c:pt idx="49">
                  <c:v>3.0000000000000004</c:v>
                </c:pt>
              </c:numCache>
            </c:numRef>
          </c:xVal>
          <c:yVal>
            <c:numRef>
              <c:f>'Orange Bungees'!$O$4:$O$53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0.6</c:v>
                </c:pt>
                <c:pt idx="3">
                  <c:v>1</c:v>
                </c:pt>
                <c:pt idx="4">
                  <c:v>1.8</c:v>
                </c:pt>
                <c:pt idx="5">
                  <c:v>2</c:v>
                </c:pt>
                <c:pt idx="6">
                  <c:v>2.4</c:v>
                </c:pt>
                <c:pt idx="7">
                  <c:v>2.8</c:v>
                </c:pt>
                <c:pt idx="8">
                  <c:v>3.2</c:v>
                </c:pt>
                <c:pt idx="9">
                  <c:v>3.6</c:v>
                </c:pt>
                <c:pt idx="10">
                  <c:v>3.8</c:v>
                </c:pt>
                <c:pt idx="11">
                  <c:v>4.2</c:v>
                </c:pt>
                <c:pt idx="12">
                  <c:v>4.4000000000000004</c:v>
                </c:pt>
                <c:pt idx="13">
                  <c:v>4.5999999999999996</c:v>
                </c:pt>
                <c:pt idx="14">
                  <c:v>5</c:v>
                </c:pt>
                <c:pt idx="15">
                  <c:v>5.2</c:v>
                </c:pt>
                <c:pt idx="16">
                  <c:v>5.4</c:v>
                </c:pt>
                <c:pt idx="17">
                  <c:v>5.6</c:v>
                </c:pt>
                <c:pt idx="18">
                  <c:v>5.8</c:v>
                </c:pt>
                <c:pt idx="19">
                  <c:v>6</c:v>
                </c:pt>
                <c:pt idx="20">
                  <c:v>6.2</c:v>
                </c:pt>
                <c:pt idx="21">
                  <c:v>6.4</c:v>
                </c:pt>
                <c:pt idx="22">
                  <c:v>6.6</c:v>
                </c:pt>
                <c:pt idx="23">
                  <c:v>6.8</c:v>
                </c:pt>
                <c:pt idx="24">
                  <c:v>7</c:v>
                </c:pt>
                <c:pt idx="25">
                  <c:v>7.2</c:v>
                </c:pt>
                <c:pt idx="26">
                  <c:v>7.4</c:v>
                </c:pt>
                <c:pt idx="27">
                  <c:v>7.6</c:v>
                </c:pt>
                <c:pt idx="28">
                  <c:v>7.8</c:v>
                </c:pt>
                <c:pt idx="29">
                  <c:v>8</c:v>
                </c:pt>
                <c:pt idx="30">
                  <c:v>8.1999999999999993</c:v>
                </c:pt>
                <c:pt idx="31">
                  <c:v>8.1999999999999993</c:v>
                </c:pt>
                <c:pt idx="32">
                  <c:v>8.6</c:v>
                </c:pt>
                <c:pt idx="33">
                  <c:v>8.8000000000000007</c:v>
                </c:pt>
                <c:pt idx="34">
                  <c:v>9</c:v>
                </c:pt>
                <c:pt idx="35">
                  <c:v>9.1999999999999993</c:v>
                </c:pt>
                <c:pt idx="36">
                  <c:v>9.4</c:v>
                </c:pt>
                <c:pt idx="37">
                  <c:v>9.6</c:v>
                </c:pt>
                <c:pt idx="38">
                  <c:v>9.6</c:v>
                </c:pt>
                <c:pt idx="39">
                  <c:v>9.8000000000000007</c:v>
                </c:pt>
                <c:pt idx="40">
                  <c:v>10</c:v>
                </c:pt>
                <c:pt idx="41">
                  <c:v>10.199999999999999</c:v>
                </c:pt>
                <c:pt idx="42">
                  <c:v>10.4</c:v>
                </c:pt>
                <c:pt idx="43">
                  <c:v>10.6</c:v>
                </c:pt>
                <c:pt idx="44">
                  <c:v>10.8</c:v>
                </c:pt>
                <c:pt idx="45">
                  <c:v>11</c:v>
                </c:pt>
                <c:pt idx="46">
                  <c:v>11.4</c:v>
                </c:pt>
                <c:pt idx="47">
                  <c:v>11.6</c:v>
                </c:pt>
                <c:pt idx="48">
                  <c:v>11.8</c:v>
                </c:pt>
                <c:pt idx="49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EE-4A48-8BB9-AF4AE38FE42B}"/>
            </c:ext>
          </c:extLst>
        </c:ser>
        <c:ser>
          <c:idx val="3"/>
          <c:order val="3"/>
          <c:tx>
            <c:v>12inch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'Orange Bungees'!$U$4:$U$101</c:f>
              <c:numCache>
                <c:formatCode>General</c:formatCode>
                <c:ptCount val="98"/>
                <c:pt idx="0">
                  <c:v>0</c:v>
                </c:pt>
                <c:pt idx="1">
                  <c:v>1</c:v>
                </c:pt>
                <c:pt idx="2">
                  <c:v>1.0208333333333335</c:v>
                </c:pt>
                <c:pt idx="3">
                  <c:v>1.0416666666666667</c:v>
                </c:pt>
                <c:pt idx="4">
                  <c:v>1.0625</c:v>
                </c:pt>
                <c:pt idx="5">
                  <c:v>1.0833333333333335</c:v>
                </c:pt>
                <c:pt idx="6">
                  <c:v>1.1041666666666667</c:v>
                </c:pt>
                <c:pt idx="7">
                  <c:v>1.125</c:v>
                </c:pt>
                <c:pt idx="8">
                  <c:v>1.1458333333333335</c:v>
                </c:pt>
                <c:pt idx="9">
                  <c:v>1.1666666666666667</c:v>
                </c:pt>
                <c:pt idx="10">
                  <c:v>1.1875000000000002</c:v>
                </c:pt>
                <c:pt idx="11">
                  <c:v>1.2083333333333333</c:v>
                </c:pt>
                <c:pt idx="12">
                  <c:v>1.2291666666666667</c:v>
                </c:pt>
                <c:pt idx="13">
                  <c:v>1.2500000000000002</c:v>
                </c:pt>
                <c:pt idx="14">
                  <c:v>1.2708333333333335</c:v>
                </c:pt>
                <c:pt idx="15">
                  <c:v>1.2916666666666667</c:v>
                </c:pt>
                <c:pt idx="16">
                  <c:v>1.3125</c:v>
                </c:pt>
                <c:pt idx="17">
                  <c:v>1.3333333333333335</c:v>
                </c:pt>
                <c:pt idx="18">
                  <c:v>1.354166666666667</c:v>
                </c:pt>
                <c:pt idx="19">
                  <c:v>1.375</c:v>
                </c:pt>
                <c:pt idx="20">
                  <c:v>1.3958333333333335</c:v>
                </c:pt>
                <c:pt idx="21">
                  <c:v>1.4166666666666667</c:v>
                </c:pt>
                <c:pt idx="22">
                  <c:v>1.4375000000000002</c:v>
                </c:pt>
                <c:pt idx="23">
                  <c:v>1.4583333333333335</c:v>
                </c:pt>
                <c:pt idx="24">
                  <c:v>1.4791666666666667</c:v>
                </c:pt>
                <c:pt idx="25">
                  <c:v>1.5000000000000002</c:v>
                </c:pt>
                <c:pt idx="26">
                  <c:v>1.5208333333333335</c:v>
                </c:pt>
                <c:pt idx="27">
                  <c:v>1.5416666666666667</c:v>
                </c:pt>
                <c:pt idx="28">
                  <c:v>1.5625000000000002</c:v>
                </c:pt>
                <c:pt idx="29">
                  <c:v>1.5833333333333335</c:v>
                </c:pt>
                <c:pt idx="30">
                  <c:v>1.604166666666667</c:v>
                </c:pt>
                <c:pt idx="31">
                  <c:v>1.625</c:v>
                </c:pt>
                <c:pt idx="32">
                  <c:v>1.6458333333333333</c:v>
                </c:pt>
                <c:pt idx="33">
                  <c:v>1.666666666666667</c:v>
                </c:pt>
                <c:pt idx="34">
                  <c:v>1.6875000000000002</c:v>
                </c:pt>
                <c:pt idx="35">
                  <c:v>1.7083333333333333</c:v>
                </c:pt>
                <c:pt idx="36">
                  <c:v>1.729166666666667</c:v>
                </c:pt>
                <c:pt idx="37">
                  <c:v>1.7500000000000002</c:v>
                </c:pt>
                <c:pt idx="38">
                  <c:v>1.7708333333333335</c:v>
                </c:pt>
                <c:pt idx="39">
                  <c:v>1.791666666666667</c:v>
                </c:pt>
                <c:pt idx="40">
                  <c:v>1.8125000000000002</c:v>
                </c:pt>
                <c:pt idx="41">
                  <c:v>1.8333333333333335</c:v>
                </c:pt>
                <c:pt idx="42">
                  <c:v>1.8541666666666667</c:v>
                </c:pt>
                <c:pt idx="43">
                  <c:v>1.8750000000000002</c:v>
                </c:pt>
                <c:pt idx="44">
                  <c:v>1.8958333333333335</c:v>
                </c:pt>
                <c:pt idx="45">
                  <c:v>1.9166666666666667</c:v>
                </c:pt>
                <c:pt idx="46">
                  <c:v>1.9375000000000002</c:v>
                </c:pt>
                <c:pt idx="47">
                  <c:v>1.9583333333333335</c:v>
                </c:pt>
                <c:pt idx="48">
                  <c:v>1.9791666666666667</c:v>
                </c:pt>
                <c:pt idx="49">
                  <c:v>2</c:v>
                </c:pt>
                <c:pt idx="50">
                  <c:v>2.0208333333333335</c:v>
                </c:pt>
                <c:pt idx="51">
                  <c:v>2.041666666666667</c:v>
                </c:pt>
                <c:pt idx="52">
                  <c:v>2.0625</c:v>
                </c:pt>
                <c:pt idx="53">
                  <c:v>2.0833333333333335</c:v>
                </c:pt>
                <c:pt idx="54">
                  <c:v>2.104166666666667</c:v>
                </c:pt>
                <c:pt idx="55">
                  <c:v>2.125</c:v>
                </c:pt>
                <c:pt idx="56">
                  <c:v>2.1458333333333335</c:v>
                </c:pt>
                <c:pt idx="57">
                  <c:v>2.166666666666667</c:v>
                </c:pt>
                <c:pt idx="58">
                  <c:v>2.1875</c:v>
                </c:pt>
                <c:pt idx="59">
                  <c:v>2.2083333333333335</c:v>
                </c:pt>
                <c:pt idx="60">
                  <c:v>2.229166666666667</c:v>
                </c:pt>
                <c:pt idx="61">
                  <c:v>2.25</c:v>
                </c:pt>
                <c:pt idx="62">
                  <c:v>2.2708333333333335</c:v>
                </c:pt>
                <c:pt idx="63">
                  <c:v>2.291666666666667</c:v>
                </c:pt>
                <c:pt idx="64">
                  <c:v>2.3125000000000004</c:v>
                </c:pt>
                <c:pt idx="65">
                  <c:v>2.3333333333333335</c:v>
                </c:pt>
                <c:pt idx="66">
                  <c:v>2.354166666666667</c:v>
                </c:pt>
                <c:pt idx="67">
                  <c:v>2.3750000000000004</c:v>
                </c:pt>
                <c:pt idx="68">
                  <c:v>2.3958333333333335</c:v>
                </c:pt>
                <c:pt idx="69">
                  <c:v>2.4166666666666665</c:v>
                </c:pt>
                <c:pt idx="70">
                  <c:v>2.4375000000000004</c:v>
                </c:pt>
                <c:pt idx="71">
                  <c:v>2.4583333333333335</c:v>
                </c:pt>
                <c:pt idx="72">
                  <c:v>2.479166666666667</c:v>
                </c:pt>
                <c:pt idx="73">
                  <c:v>2.5000000000000004</c:v>
                </c:pt>
                <c:pt idx="74">
                  <c:v>2.5208333333333335</c:v>
                </c:pt>
                <c:pt idx="75">
                  <c:v>2.541666666666667</c:v>
                </c:pt>
                <c:pt idx="76">
                  <c:v>2.5625000000000004</c:v>
                </c:pt>
                <c:pt idx="77">
                  <c:v>2.5833333333333335</c:v>
                </c:pt>
                <c:pt idx="78">
                  <c:v>2.604166666666667</c:v>
                </c:pt>
                <c:pt idx="79">
                  <c:v>2.625</c:v>
                </c:pt>
                <c:pt idx="80">
                  <c:v>2.6458333333333335</c:v>
                </c:pt>
                <c:pt idx="81">
                  <c:v>2.666666666666667</c:v>
                </c:pt>
                <c:pt idx="82">
                  <c:v>2.6875</c:v>
                </c:pt>
                <c:pt idx="83">
                  <c:v>2.7083333333333339</c:v>
                </c:pt>
                <c:pt idx="84">
                  <c:v>2.729166666666667</c:v>
                </c:pt>
                <c:pt idx="85">
                  <c:v>2.75</c:v>
                </c:pt>
                <c:pt idx="86">
                  <c:v>2.7708333333333335</c:v>
                </c:pt>
                <c:pt idx="87">
                  <c:v>2.791666666666667</c:v>
                </c:pt>
                <c:pt idx="88">
                  <c:v>2.8125000000000004</c:v>
                </c:pt>
                <c:pt idx="89">
                  <c:v>2.8333333333333335</c:v>
                </c:pt>
                <c:pt idx="90">
                  <c:v>2.854166666666667</c:v>
                </c:pt>
                <c:pt idx="91">
                  <c:v>2.8750000000000004</c:v>
                </c:pt>
                <c:pt idx="92">
                  <c:v>2.8958333333333335</c:v>
                </c:pt>
                <c:pt idx="93">
                  <c:v>2.916666666666667</c:v>
                </c:pt>
                <c:pt idx="94">
                  <c:v>2.9375000000000004</c:v>
                </c:pt>
                <c:pt idx="95">
                  <c:v>2.9583333333333335</c:v>
                </c:pt>
                <c:pt idx="96">
                  <c:v>2.979166666666667</c:v>
                </c:pt>
                <c:pt idx="97">
                  <c:v>3.0000000000000004</c:v>
                </c:pt>
              </c:numCache>
            </c:numRef>
          </c:xVal>
          <c:yVal>
            <c:numRef>
              <c:f>'Orange Bungees'!$V$4:$V$100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2.4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4.2</c:v>
                </c:pt>
                <c:pt idx="23">
                  <c:v>4.4000000000000004</c:v>
                </c:pt>
                <c:pt idx="24">
                  <c:v>4.5999999999999996</c:v>
                </c:pt>
                <c:pt idx="25">
                  <c:v>4.5999999999999996</c:v>
                </c:pt>
                <c:pt idx="26">
                  <c:v>4.8</c:v>
                </c:pt>
                <c:pt idx="27">
                  <c:v>5</c:v>
                </c:pt>
                <c:pt idx="28">
                  <c:v>5</c:v>
                </c:pt>
                <c:pt idx="29">
                  <c:v>5.2</c:v>
                </c:pt>
                <c:pt idx="30">
                  <c:v>5.2</c:v>
                </c:pt>
                <c:pt idx="31">
                  <c:v>5.4</c:v>
                </c:pt>
                <c:pt idx="32">
                  <c:v>5.4</c:v>
                </c:pt>
                <c:pt idx="33">
                  <c:v>5.6</c:v>
                </c:pt>
                <c:pt idx="34">
                  <c:v>5.6</c:v>
                </c:pt>
                <c:pt idx="35">
                  <c:v>5.8</c:v>
                </c:pt>
                <c:pt idx="36">
                  <c:v>5.8</c:v>
                </c:pt>
                <c:pt idx="37">
                  <c:v>6</c:v>
                </c:pt>
                <c:pt idx="38">
                  <c:v>6</c:v>
                </c:pt>
                <c:pt idx="39">
                  <c:v>6.2</c:v>
                </c:pt>
                <c:pt idx="40">
                  <c:v>6.2</c:v>
                </c:pt>
                <c:pt idx="41">
                  <c:v>6.4</c:v>
                </c:pt>
                <c:pt idx="42">
                  <c:v>6.4</c:v>
                </c:pt>
                <c:pt idx="43">
                  <c:v>6.6</c:v>
                </c:pt>
                <c:pt idx="44">
                  <c:v>6.6</c:v>
                </c:pt>
                <c:pt idx="45">
                  <c:v>6.8</c:v>
                </c:pt>
                <c:pt idx="46">
                  <c:v>6.8</c:v>
                </c:pt>
                <c:pt idx="47">
                  <c:v>7</c:v>
                </c:pt>
                <c:pt idx="48">
                  <c:v>7</c:v>
                </c:pt>
                <c:pt idx="49">
                  <c:v>7.2</c:v>
                </c:pt>
                <c:pt idx="50">
                  <c:v>7.2</c:v>
                </c:pt>
                <c:pt idx="51">
                  <c:v>7.2</c:v>
                </c:pt>
                <c:pt idx="52">
                  <c:v>7.4</c:v>
                </c:pt>
                <c:pt idx="53">
                  <c:v>7.6</c:v>
                </c:pt>
                <c:pt idx="54">
                  <c:v>7.6</c:v>
                </c:pt>
                <c:pt idx="55">
                  <c:v>7.6</c:v>
                </c:pt>
                <c:pt idx="56">
                  <c:v>7.8</c:v>
                </c:pt>
                <c:pt idx="57">
                  <c:v>7.8</c:v>
                </c:pt>
                <c:pt idx="58">
                  <c:v>7.8</c:v>
                </c:pt>
                <c:pt idx="59">
                  <c:v>8</c:v>
                </c:pt>
                <c:pt idx="60">
                  <c:v>8</c:v>
                </c:pt>
                <c:pt idx="61">
                  <c:v>8.1999999999999993</c:v>
                </c:pt>
                <c:pt idx="62">
                  <c:v>8.1999999999999993</c:v>
                </c:pt>
                <c:pt idx="63">
                  <c:v>8.4</c:v>
                </c:pt>
                <c:pt idx="64">
                  <c:v>8.4</c:v>
                </c:pt>
                <c:pt idx="65">
                  <c:v>8.6</c:v>
                </c:pt>
                <c:pt idx="66">
                  <c:v>8.6</c:v>
                </c:pt>
                <c:pt idx="67">
                  <c:v>8.6</c:v>
                </c:pt>
                <c:pt idx="68">
                  <c:v>8.8000000000000007</c:v>
                </c:pt>
                <c:pt idx="69">
                  <c:v>8.8000000000000007</c:v>
                </c:pt>
                <c:pt idx="70">
                  <c:v>9</c:v>
                </c:pt>
                <c:pt idx="71">
                  <c:v>9.1999999999999993</c:v>
                </c:pt>
                <c:pt idx="72">
                  <c:v>9.1999999999999993</c:v>
                </c:pt>
                <c:pt idx="73">
                  <c:v>9.1999999999999993</c:v>
                </c:pt>
                <c:pt idx="74">
                  <c:v>9.4</c:v>
                </c:pt>
                <c:pt idx="75">
                  <c:v>9.6</c:v>
                </c:pt>
                <c:pt idx="76">
                  <c:v>9.6</c:v>
                </c:pt>
                <c:pt idx="77">
                  <c:v>9.6</c:v>
                </c:pt>
                <c:pt idx="78">
                  <c:v>9.8000000000000007</c:v>
                </c:pt>
                <c:pt idx="79">
                  <c:v>9.8000000000000007</c:v>
                </c:pt>
                <c:pt idx="80">
                  <c:v>10</c:v>
                </c:pt>
                <c:pt idx="81">
                  <c:v>10</c:v>
                </c:pt>
                <c:pt idx="82">
                  <c:v>10.199999999999999</c:v>
                </c:pt>
                <c:pt idx="83">
                  <c:v>10.199999999999999</c:v>
                </c:pt>
                <c:pt idx="84">
                  <c:v>10.4</c:v>
                </c:pt>
                <c:pt idx="85">
                  <c:v>10.4</c:v>
                </c:pt>
                <c:pt idx="86">
                  <c:v>10.6</c:v>
                </c:pt>
                <c:pt idx="87">
                  <c:v>10.6</c:v>
                </c:pt>
                <c:pt idx="88">
                  <c:v>10.8</c:v>
                </c:pt>
                <c:pt idx="89">
                  <c:v>10.8</c:v>
                </c:pt>
                <c:pt idx="90">
                  <c:v>11</c:v>
                </c:pt>
                <c:pt idx="91">
                  <c:v>11</c:v>
                </c:pt>
                <c:pt idx="92">
                  <c:v>11</c:v>
                </c:pt>
                <c:pt idx="93">
                  <c:v>11.2</c:v>
                </c:pt>
                <c:pt idx="94">
                  <c:v>11.4</c:v>
                </c:pt>
                <c:pt idx="95">
                  <c:v>11.4</c:v>
                </c:pt>
                <c:pt idx="96">
                  <c:v>11.4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8EE-4A48-8BB9-AF4AE38FE42B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'Orange Bungees'!$U$4:$U$101</c:f>
              <c:numCache>
                <c:formatCode>General</c:formatCode>
                <c:ptCount val="98"/>
                <c:pt idx="0">
                  <c:v>0</c:v>
                </c:pt>
                <c:pt idx="1">
                  <c:v>1</c:v>
                </c:pt>
                <c:pt idx="2">
                  <c:v>1.0208333333333335</c:v>
                </c:pt>
                <c:pt idx="3">
                  <c:v>1.0416666666666667</c:v>
                </c:pt>
                <c:pt idx="4">
                  <c:v>1.0625</c:v>
                </c:pt>
                <c:pt idx="5">
                  <c:v>1.0833333333333335</c:v>
                </c:pt>
                <c:pt idx="6">
                  <c:v>1.1041666666666667</c:v>
                </c:pt>
                <c:pt idx="7">
                  <c:v>1.125</c:v>
                </c:pt>
                <c:pt idx="8">
                  <c:v>1.1458333333333335</c:v>
                </c:pt>
                <c:pt idx="9">
                  <c:v>1.1666666666666667</c:v>
                </c:pt>
                <c:pt idx="10">
                  <c:v>1.1875000000000002</c:v>
                </c:pt>
                <c:pt idx="11">
                  <c:v>1.2083333333333333</c:v>
                </c:pt>
                <c:pt idx="12">
                  <c:v>1.2291666666666667</c:v>
                </c:pt>
                <c:pt idx="13">
                  <c:v>1.2500000000000002</c:v>
                </c:pt>
                <c:pt idx="14">
                  <c:v>1.2708333333333335</c:v>
                </c:pt>
                <c:pt idx="15">
                  <c:v>1.2916666666666667</c:v>
                </c:pt>
                <c:pt idx="16">
                  <c:v>1.3125</c:v>
                </c:pt>
                <c:pt idx="17">
                  <c:v>1.3333333333333335</c:v>
                </c:pt>
                <c:pt idx="18">
                  <c:v>1.354166666666667</c:v>
                </c:pt>
                <c:pt idx="19">
                  <c:v>1.375</c:v>
                </c:pt>
                <c:pt idx="20">
                  <c:v>1.3958333333333335</c:v>
                </c:pt>
                <c:pt idx="21">
                  <c:v>1.4166666666666667</c:v>
                </c:pt>
                <c:pt idx="22">
                  <c:v>1.4375000000000002</c:v>
                </c:pt>
                <c:pt idx="23">
                  <c:v>1.4583333333333335</c:v>
                </c:pt>
                <c:pt idx="24">
                  <c:v>1.4791666666666667</c:v>
                </c:pt>
                <c:pt idx="25">
                  <c:v>1.5000000000000002</c:v>
                </c:pt>
                <c:pt idx="26">
                  <c:v>1.5208333333333335</c:v>
                </c:pt>
                <c:pt idx="27">
                  <c:v>1.5416666666666667</c:v>
                </c:pt>
                <c:pt idx="28">
                  <c:v>1.5625000000000002</c:v>
                </c:pt>
                <c:pt idx="29">
                  <c:v>1.5833333333333335</c:v>
                </c:pt>
                <c:pt idx="30">
                  <c:v>1.604166666666667</c:v>
                </c:pt>
                <c:pt idx="31">
                  <c:v>1.625</c:v>
                </c:pt>
                <c:pt idx="32">
                  <c:v>1.6458333333333333</c:v>
                </c:pt>
                <c:pt idx="33">
                  <c:v>1.666666666666667</c:v>
                </c:pt>
                <c:pt idx="34">
                  <c:v>1.6875000000000002</c:v>
                </c:pt>
                <c:pt idx="35">
                  <c:v>1.7083333333333333</c:v>
                </c:pt>
                <c:pt idx="36">
                  <c:v>1.729166666666667</c:v>
                </c:pt>
                <c:pt idx="37">
                  <c:v>1.7500000000000002</c:v>
                </c:pt>
                <c:pt idx="38">
                  <c:v>1.7708333333333335</c:v>
                </c:pt>
                <c:pt idx="39">
                  <c:v>1.791666666666667</c:v>
                </c:pt>
                <c:pt idx="40">
                  <c:v>1.8125000000000002</c:v>
                </c:pt>
                <c:pt idx="41">
                  <c:v>1.8333333333333335</c:v>
                </c:pt>
                <c:pt idx="42">
                  <c:v>1.8541666666666667</c:v>
                </c:pt>
                <c:pt idx="43">
                  <c:v>1.8750000000000002</c:v>
                </c:pt>
                <c:pt idx="44">
                  <c:v>1.8958333333333335</c:v>
                </c:pt>
                <c:pt idx="45">
                  <c:v>1.9166666666666667</c:v>
                </c:pt>
                <c:pt idx="46">
                  <c:v>1.9375000000000002</c:v>
                </c:pt>
                <c:pt idx="47">
                  <c:v>1.9583333333333335</c:v>
                </c:pt>
                <c:pt idx="48">
                  <c:v>1.9791666666666667</c:v>
                </c:pt>
                <c:pt idx="49">
                  <c:v>2</c:v>
                </c:pt>
                <c:pt idx="50">
                  <c:v>2.0208333333333335</c:v>
                </c:pt>
                <c:pt idx="51">
                  <c:v>2.041666666666667</c:v>
                </c:pt>
                <c:pt idx="52">
                  <c:v>2.0625</c:v>
                </c:pt>
                <c:pt idx="53">
                  <c:v>2.0833333333333335</c:v>
                </c:pt>
                <c:pt idx="54">
                  <c:v>2.104166666666667</c:v>
                </c:pt>
                <c:pt idx="55">
                  <c:v>2.125</c:v>
                </c:pt>
                <c:pt idx="56">
                  <c:v>2.1458333333333335</c:v>
                </c:pt>
                <c:pt idx="57">
                  <c:v>2.166666666666667</c:v>
                </c:pt>
                <c:pt idx="58">
                  <c:v>2.1875</c:v>
                </c:pt>
                <c:pt idx="59">
                  <c:v>2.2083333333333335</c:v>
                </c:pt>
                <c:pt idx="60">
                  <c:v>2.229166666666667</c:v>
                </c:pt>
                <c:pt idx="61">
                  <c:v>2.25</c:v>
                </c:pt>
                <c:pt idx="62">
                  <c:v>2.2708333333333335</c:v>
                </c:pt>
                <c:pt idx="63">
                  <c:v>2.291666666666667</c:v>
                </c:pt>
                <c:pt idx="64">
                  <c:v>2.3125000000000004</c:v>
                </c:pt>
                <c:pt idx="65">
                  <c:v>2.3333333333333335</c:v>
                </c:pt>
                <c:pt idx="66">
                  <c:v>2.354166666666667</c:v>
                </c:pt>
                <c:pt idx="67">
                  <c:v>2.3750000000000004</c:v>
                </c:pt>
                <c:pt idx="68">
                  <c:v>2.3958333333333335</c:v>
                </c:pt>
                <c:pt idx="69">
                  <c:v>2.4166666666666665</c:v>
                </c:pt>
                <c:pt idx="70">
                  <c:v>2.4375000000000004</c:v>
                </c:pt>
                <c:pt idx="71">
                  <c:v>2.4583333333333335</c:v>
                </c:pt>
                <c:pt idx="72">
                  <c:v>2.479166666666667</c:v>
                </c:pt>
                <c:pt idx="73">
                  <c:v>2.5000000000000004</c:v>
                </c:pt>
                <c:pt idx="74">
                  <c:v>2.5208333333333335</c:v>
                </c:pt>
                <c:pt idx="75">
                  <c:v>2.541666666666667</c:v>
                </c:pt>
                <c:pt idx="76">
                  <c:v>2.5625000000000004</c:v>
                </c:pt>
                <c:pt idx="77">
                  <c:v>2.5833333333333335</c:v>
                </c:pt>
                <c:pt idx="78">
                  <c:v>2.604166666666667</c:v>
                </c:pt>
                <c:pt idx="79">
                  <c:v>2.625</c:v>
                </c:pt>
                <c:pt idx="80">
                  <c:v>2.6458333333333335</c:v>
                </c:pt>
                <c:pt idx="81">
                  <c:v>2.666666666666667</c:v>
                </c:pt>
                <c:pt idx="82">
                  <c:v>2.6875</c:v>
                </c:pt>
                <c:pt idx="83">
                  <c:v>2.7083333333333339</c:v>
                </c:pt>
                <c:pt idx="84">
                  <c:v>2.729166666666667</c:v>
                </c:pt>
                <c:pt idx="85">
                  <c:v>2.75</c:v>
                </c:pt>
                <c:pt idx="86">
                  <c:v>2.7708333333333335</c:v>
                </c:pt>
                <c:pt idx="87">
                  <c:v>2.791666666666667</c:v>
                </c:pt>
                <c:pt idx="88">
                  <c:v>2.8125000000000004</c:v>
                </c:pt>
                <c:pt idx="89">
                  <c:v>2.8333333333333335</c:v>
                </c:pt>
                <c:pt idx="90">
                  <c:v>2.854166666666667</c:v>
                </c:pt>
                <c:pt idx="91">
                  <c:v>2.8750000000000004</c:v>
                </c:pt>
                <c:pt idx="92">
                  <c:v>2.8958333333333335</c:v>
                </c:pt>
                <c:pt idx="93">
                  <c:v>2.916666666666667</c:v>
                </c:pt>
                <c:pt idx="94">
                  <c:v>2.9375000000000004</c:v>
                </c:pt>
                <c:pt idx="95">
                  <c:v>2.9583333333333335</c:v>
                </c:pt>
                <c:pt idx="96">
                  <c:v>2.979166666666667</c:v>
                </c:pt>
                <c:pt idx="97">
                  <c:v>3.0000000000000004</c:v>
                </c:pt>
              </c:numCache>
            </c:numRef>
          </c:xVal>
          <c:yVal>
            <c:numRef>
              <c:f>'Orange Bungees'!$AA$4:$AA$101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2</c:v>
                </c:pt>
                <c:pt idx="9">
                  <c:v>2</c:v>
                </c:pt>
                <c:pt idx="10">
                  <c:v>2.4</c:v>
                </c:pt>
                <c:pt idx="11">
                  <c:v>2.6</c:v>
                </c:pt>
                <c:pt idx="12">
                  <c:v>2.8</c:v>
                </c:pt>
                <c:pt idx="13">
                  <c:v>3</c:v>
                </c:pt>
                <c:pt idx="14">
                  <c:v>3.2</c:v>
                </c:pt>
                <c:pt idx="15">
                  <c:v>3.4</c:v>
                </c:pt>
                <c:pt idx="16">
                  <c:v>3.6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4.4000000000000004</c:v>
                </c:pt>
                <c:pt idx="24">
                  <c:v>4.5999999999999996</c:v>
                </c:pt>
                <c:pt idx="25">
                  <c:v>4.8</c:v>
                </c:pt>
                <c:pt idx="26">
                  <c:v>5</c:v>
                </c:pt>
                <c:pt idx="27">
                  <c:v>5</c:v>
                </c:pt>
                <c:pt idx="28">
                  <c:v>5.2</c:v>
                </c:pt>
                <c:pt idx="29">
                  <c:v>5.2</c:v>
                </c:pt>
                <c:pt idx="30">
                  <c:v>5.4</c:v>
                </c:pt>
                <c:pt idx="31">
                  <c:v>5.4</c:v>
                </c:pt>
                <c:pt idx="32">
                  <c:v>5.6</c:v>
                </c:pt>
                <c:pt idx="33">
                  <c:v>5.8</c:v>
                </c:pt>
                <c:pt idx="34">
                  <c:v>5.8</c:v>
                </c:pt>
                <c:pt idx="35">
                  <c:v>6</c:v>
                </c:pt>
                <c:pt idx="36">
                  <c:v>6</c:v>
                </c:pt>
                <c:pt idx="37">
                  <c:v>6.2</c:v>
                </c:pt>
                <c:pt idx="38">
                  <c:v>6.2</c:v>
                </c:pt>
                <c:pt idx="39">
                  <c:v>6.4</c:v>
                </c:pt>
                <c:pt idx="40">
                  <c:v>6.4</c:v>
                </c:pt>
                <c:pt idx="41">
                  <c:v>6.6</c:v>
                </c:pt>
                <c:pt idx="42">
                  <c:v>6.6</c:v>
                </c:pt>
                <c:pt idx="43">
                  <c:v>6.8</c:v>
                </c:pt>
                <c:pt idx="44">
                  <c:v>6.8</c:v>
                </c:pt>
                <c:pt idx="45">
                  <c:v>6.8</c:v>
                </c:pt>
                <c:pt idx="46">
                  <c:v>7</c:v>
                </c:pt>
                <c:pt idx="47">
                  <c:v>7.2</c:v>
                </c:pt>
                <c:pt idx="48">
                  <c:v>7.2</c:v>
                </c:pt>
                <c:pt idx="49">
                  <c:v>7.2</c:v>
                </c:pt>
                <c:pt idx="50">
                  <c:v>7.4</c:v>
                </c:pt>
                <c:pt idx="51">
                  <c:v>7.4</c:v>
                </c:pt>
                <c:pt idx="52">
                  <c:v>7.6</c:v>
                </c:pt>
                <c:pt idx="53">
                  <c:v>7.6</c:v>
                </c:pt>
                <c:pt idx="54">
                  <c:v>7.8</c:v>
                </c:pt>
                <c:pt idx="55">
                  <c:v>7.8</c:v>
                </c:pt>
                <c:pt idx="56">
                  <c:v>7.8</c:v>
                </c:pt>
                <c:pt idx="57">
                  <c:v>8</c:v>
                </c:pt>
                <c:pt idx="58">
                  <c:v>8</c:v>
                </c:pt>
                <c:pt idx="59">
                  <c:v>8.1999999999999993</c:v>
                </c:pt>
                <c:pt idx="60">
                  <c:v>8.1999999999999993</c:v>
                </c:pt>
                <c:pt idx="61">
                  <c:v>8.4</c:v>
                </c:pt>
                <c:pt idx="62">
                  <c:v>8.4</c:v>
                </c:pt>
                <c:pt idx="63">
                  <c:v>8.6</c:v>
                </c:pt>
                <c:pt idx="64">
                  <c:v>8.6</c:v>
                </c:pt>
                <c:pt idx="65">
                  <c:v>8.8000000000000007</c:v>
                </c:pt>
                <c:pt idx="66">
                  <c:v>8.8000000000000007</c:v>
                </c:pt>
                <c:pt idx="67">
                  <c:v>8.8000000000000007</c:v>
                </c:pt>
                <c:pt idx="68">
                  <c:v>9</c:v>
                </c:pt>
                <c:pt idx="69">
                  <c:v>9</c:v>
                </c:pt>
                <c:pt idx="70">
                  <c:v>9.1999999999999993</c:v>
                </c:pt>
                <c:pt idx="71">
                  <c:v>9.1999999999999993</c:v>
                </c:pt>
                <c:pt idx="72">
                  <c:v>9.4</c:v>
                </c:pt>
                <c:pt idx="73">
                  <c:v>9.4</c:v>
                </c:pt>
                <c:pt idx="74">
                  <c:v>9.6</c:v>
                </c:pt>
                <c:pt idx="75">
                  <c:v>9.6</c:v>
                </c:pt>
                <c:pt idx="76">
                  <c:v>9.8000000000000007</c:v>
                </c:pt>
                <c:pt idx="77">
                  <c:v>9.8000000000000007</c:v>
                </c:pt>
                <c:pt idx="78">
                  <c:v>9.8000000000000007</c:v>
                </c:pt>
                <c:pt idx="79">
                  <c:v>10</c:v>
                </c:pt>
                <c:pt idx="80">
                  <c:v>10</c:v>
                </c:pt>
                <c:pt idx="81">
                  <c:v>10.199999999999999</c:v>
                </c:pt>
                <c:pt idx="82">
                  <c:v>10.199999999999999</c:v>
                </c:pt>
                <c:pt idx="83">
                  <c:v>10.4</c:v>
                </c:pt>
                <c:pt idx="84">
                  <c:v>10.6</c:v>
                </c:pt>
                <c:pt idx="85">
                  <c:v>10.6</c:v>
                </c:pt>
                <c:pt idx="86">
                  <c:v>10.8</c:v>
                </c:pt>
                <c:pt idx="87">
                  <c:v>10.8</c:v>
                </c:pt>
                <c:pt idx="88">
                  <c:v>11</c:v>
                </c:pt>
                <c:pt idx="89">
                  <c:v>11</c:v>
                </c:pt>
                <c:pt idx="90">
                  <c:v>11.2</c:v>
                </c:pt>
                <c:pt idx="91">
                  <c:v>11.2</c:v>
                </c:pt>
                <c:pt idx="92">
                  <c:v>11.4</c:v>
                </c:pt>
                <c:pt idx="93">
                  <c:v>11.4</c:v>
                </c:pt>
                <c:pt idx="94">
                  <c:v>11.6</c:v>
                </c:pt>
                <c:pt idx="95">
                  <c:v>11.8</c:v>
                </c:pt>
                <c:pt idx="96">
                  <c:v>11.8</c:v>
                </c:pt>
                <c:pt idx="97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8EE-4A48-8BB9-AF4AE38FE42B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'Orange Bungees'!$U$4:$U$101</c:f>
              <c:numCache>
                <c:formatCode>General</c:formatCode>
                <c:ptCount val="98"/>
                <c:pt idx="0">
                  <c:v>0</c:v>
                </c:pt>
                <c:pt idx="1">
                  <c:v>1</c:v>
                </c:pt>
                <c:pt idx="2">
                  <c:v>1.0208333333333335</c:v>
                </c:pt>
                <c:pt idx="3">
                  <c:v>1.0416666666666667</c:v>
                </c:pt>
                <c:pt idx="4">
                  <c:v>1.0625</c:v>
                </c:pt>
                <c:pt idx="5">
                  <c:v>1.0833333333333335</c:v>
                </c:pt>
                <c:pt idx="6">
                  <c:v>1.1041666666666667</c:v>
                </c:pt>
                <c:pt idx="7">
                  <c:v>1.125</c:v>
                </c:pt>
                <c:pt idx="8">
                  <c:v>1.1458333333333335</c:v>
                </c:pt>
                <c:pt idx="9">
                  <c:v>1.1666666666666667</c:v>
                </c:pt>
                <c:pt idx="10">
                  <c:v>1.1875000000000002</c:v>
                </c:pt>
                <c:pt idx="11">
                  <c:v>1.2083333333333333</c:v>
                </c:pt>
                <c:pt idx="12">
                  <c:v>1.2291666666666667</c:v>
                </c:pt>
                <c:pt idx="13">
                  <c:v>1.2500000000000002</c:v>
                </c:pt>
                <c:pt idx="14">
                  <c:v>1.2708333333333335</c:v>
                </c:pt>
                <c:pt idx="15">
                  <c:v>1.2916666666666667</c:v>
                </c:pt>
                <c:pt idx="16">
                  <c:v>1.3125</c:v>
                </c:pt>
                <c:pt idx="17">
                  <c:v>1.3333333333333335</c:v>
                </c:pt>
                <c:pt idx="18">
                  <c:v>1.354166666666667</c:v>
                </c:pt>
                <c:pt idx="19">
                  <c:v>1.375</c:v>
                </c:pt>
                <c:pt idx="20">
                  <c:v>1.3958333333333335</c:v>
                </c:pt>
                <c:pt idx="21">
                  <c:v>1.4166666666666667</c:v>
                </c:pt>
                <c:pt idx="22">
                  <c:v>1.4375000000000002</c:v>
                </c:pt>
                <c:pt idx="23">
                  <c:v>1.4583333333333335</c:v>
                </c:pt>
                <c:pt idx="24">
                  <c:v>1.4791666666666667</c:v>
                </c:pt>
                <c:pt idx="25">
                  <c:v>1.5000000000000002</c:v>
                </c:pt>
                <c:pt idx="26">
                  <c:v>1.5208333333333335</c:v>
                </c:pt>
                <c:pt idx="27">
                  <c:v>1.5416666666666667</c:v>
                </c:pt>
                <c:pt idx="28">
                  <c:v>1.5625000000000002</c:v>
                </c:pt>
                <c:pt idx="29">
                  <c:v>1.5833333333333335</c:v>
                </c:pt>
                <c:pt idx="30">
                  <c:v>1.604166666666667</c:v>
                </c:pt>
                <c:pt idx="31">
                  <c:v>1.625</c:v>
                </c:pt>
                <c:pt idx="32">
                  <c:v>1.6458333333333333</c:v>
                </c:pt>
                <c:pt idx="33">
                  <c:v>1.666666666666667</c:v>
                </c:pt>
                <c:pt idx="34">
                  <c:v>1.6875000000000002</c:v>
                </c:pt>
                <c:pt idx="35">
                  <c:v>1.7083333333333333</c:v>
                </c:pt>
                <c:pt idx="36">
                  <c:v>1.729166666666667</c:v>
                </c:pt>
                <c:pt idx="37">
                  <c:v>1.7500000000000002</c:v>
                </c:pt>
                <c:pt idx="38">
                  <c:v>1.7708333333333335</c:v>
                </c:pt>
                <c:pt idx="39">
                  <c:v>1.791666666666667</c:v>
                </c:pt>
                <c:pt idx="40">
                  <c:v>1.8125000000000002</c:v>
                </c:pt>
                <c:pt idx="41">
                  <c:v>1.8333333333333335</c:v>
                </c:pt>
                <c:pt idx="42">
                  <c:v>1.8541666666666667</c:v>
                </c:pt>
                <c:pt idx="43">
                  <c:v>1.8750000000000002</c:v>
                </c:pt>
                <c:pt idx="44">
                  <c:v>1.8958333333333335</c:v>
                </c:pt>
                <c:pt idx="45">
                  <c:v>1.9166666666666667</c:v>
                </c:pt>
                <c:pt idx="46">
                  <c:v>1.9375000000000002</c:v>
                </c:pt>
                <c:pt idx="47">
                  <c:v>1.9583333333333335</c:v>
                </c:pt>
                <c:pt idx="48">
                  <c:v>1.9791666666666667</c:v>
                </c:pt>
                <c:pt idx="49">
                  <c:v>2</c:v>
                </c:pt>
                <c:pt idx="50">
                  <c:v>2.0208333333333335</c:v>
                </c:pt>
                <c:pt idx="51">
                  <c:v>2.041666666666667</c:v>
                </c:pt>
                <c:pt idx="52">
                  <c:v>2.0625</c:v>
                </c:pt>
                <c:pt idx="53">
                  <c:v>2.0833333333333335</c:v>
                </c:pt>
                <c:pt idx="54">
                  <c:v>2.104166666666667</c:v>
                </c:pt>
                <c:pt idx="55">
                  <c:v>2.125</c:v>
                </c:pt>
                <c:pt idx="56">
                  <c:v>2.1458333333333335</c:v>
                </c:pt>
                <c:pt idx="57">
                  <c:v>2.166666666666667</c:v>
                </c:pt>
                <c:pt idx="58">
                  <c:v>2.1875</c:v>
                </c:pt>
                <c:pt idx="59">
                  <c:v>2.2083333333333335</c:v>
                </c:pt>
                <c:pt idx="60">
                  <c:v>2.229166666666667</c:v>
                </c:pt>
                <c:pt idx="61">
                  <c:v>2.25</c:v>
                </c:pt>
                <c:pt idx="62">
                  <c:v>2.2708333333333335</c:v>
                </c:pt>
                <c:pt idx="63">
                  <c:v>2.291666666666667</c:v>
                </c:pt>
                <c:pt idx="64">
                  <c:v>2.3125000000000004</c:v>
                </c:pt>
                <c:pt idx="65">
                  <c:v>2.3333333333333335</c:v>
                </c:pt>
                <c:pt idx="66">
                  <c:v>2.354166666666667</c:v>
                </c:pt>
                <c:pt idx="67">
                  <c:v>2.3750000000000004</c:v>
                </c:pt>
                <c:pt idx="68">
                  <c:v>2.3958333333333335</c:v>
                </c:pt>
                <c:pt idx="69">
                  <c:v>2.4166666666666665</c:v>
                </c:pt>
                <c:pt idx="70">
                  <c:v>2.4375000000000004</c:v>
                </c:pt>
                <c:pt idx="71">
                  <c:v>2.4583333333333335</c:v>
                </c:pt>
                <c:pt idx="72">
                  <c:v>2.479166666666667</c:v>
                </c:pt>
                <c:pt idx="73">
                  <c:v>2.5000000000000004</c:v>
                </c:pt>
                <c:pt idx="74">
                  <c:v>2.5208333333333335</c:v>
                </c:pt>
                <c:pt idx="75">
                  <c:v>2.541666666666667</c:v>
                </c:pt>
                <c:pt idx="76">
                  <c:v>2.5625000000000004</c:v>
                </c:pt>
                <c:pt idx="77">
                  <c:v>2.5833333333333335</c:v>
                </c:pt>
                <c:pt idx="78">
                  <c:v>2.604166666666667</c:v>
                </c:pt>
                <c:pt idx="79">
                  <c:v>2.625</c:v>
                </c:pt>
                <c:pt idx="80">
                  <c:v>2.6458333333333335</c:v>
                </c:pt>
                <c:pt idx="81">
                  <c:v>2.666666666666667</c:v>
                </c:pt>
                <c:pt idx="82">
                  <c:v>2.6875</c:v>
                </c:pt>
                <c:pt idx="83">
                  <c:v>2.7083333333333339</c:v>
                </c:pt>
                <c:pt idx="84">
                  <c:v>2.729166666666667</c:v>
                </c:pt>
                <c:pt idx="85">
                  <c:v>2.75</c:v>
                </c:pt>
                <c:pt idx="86">
                  <c:v>2.7708333333333335</c:v>
                </c:pt>
                <c:pt idx="87">
                  <c:v>2.791666666666667</c:v>
                </c:pt>
                <c:pt idx="88">
                  <c:v>2.8125000000000004</c:v>
                </c:pt>
                <c:pt idx="89">
                  <c:v>2.8333333333333335</c:v>
                </c:pt>
                <c:pt idx="90">
                  <c:v>2.854166666666667</c:v>
                </c:pt>
                <c:pt idx="91">
                  <c:v>2.8750000000000004</c:v>
                </c:pt>
                <c:pt idx="92">
                  <c:v>2.8958333333333335</c:v>
                </c:pt>
                <c:pt idx="93">
                  <c:v>2.916666666666667</c:v>
                </c:pt>
                <c:pt idx="94">
                  <c:v>2.9375000000000004</c:v>
                </c:pt>
                <c:pt idx="95">
                  <c:v>2.9583333333333335</c:v>
                </c:pt>
                <c:pt idx="96">
                  <c:v>2.979166666666667</c:v>
                </c:pt>
                <c:pt idx="97">
                  <c:v>3.0000000000000004</c:v>
                </c:pt>
              </c:numCache>
            </c:numRef>
          </c:xVal>
          <c:yVal>
            <c:numRef>
              <c:f>'Orange Bungees'!$AF$4:$AF$101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0.6</c:v>
                </c:pt>
                <c:pt idx="3">
                  <c:v>1</c:v>
                </c:pt>
                <c:pt idx="4">
                  <c:v>1.2</c:v>
                </c:pt>
                <c:pt idx="5">
                  <c:v>1.4</c:v>
                </c:pt>
                <c:pt idx="6">
                  <c:v>1.4</c:v>
                </c:pt>
                <c:pt idx="7">
                  <c:v>1.8</c:v>
                </c:pt>
                <c:pt idx="8">
                  <c:v>2</c:v>
                </c:pt>
                <c:pt idx="9">
                  <c:v>2.2000000000000002</c:v>
                </c:pt>
                <c:pt idx="10">
                  <c:v>2.4</c:v>
                </c:pt>
                <c:pt idx="11">
                  <c:v>2.6</c:v>
                </c:pt>
                <c:pt idx="12">
                  <c:v>2.8</c:v>
                </c:pt>
                <c:pt idx="13">
                  <c:v>3</c:v>
                </c:pt>
                <c:pt idx="14">
                  <c:v>3.2</c:v>
                </c:pt>
                <c:pt idx="15">
                  <c:v>3.4</c:v>
                </c:pt>
                <c:pt idx="16">
                  <c:v>3.6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4.4000000000000004</c:v>
                </c:pt>
                <c:pt idx="24">
                  <c:v>4.5999999999999996</c:v>
                </c:pt>
                <c:pt idx="25">
                  <c:v>4.8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5.2</c:v>
                </c:pt>
                <c:pt idx="30">
                  <c:v>5.4</c:v>
                </c:pt>
                <c:pt idx="31">
                  <c:v>5.4</c:v>
                </c:pt>
                <c:pt idx="32">
                  <c:v>5.6</c:v>
                </c:pt>
                <c:pt idx="33">
                  <c:v>5.6</c:v>
                </c:pt>
                <c:pt idx="34">
                  <c:v>5.8</c:v>
                </c:pt>
                <c:pt idx="35">
                  <c:v>5.8</c:v>
                </c:pt>
                <c:pt idx="36">
                  <c:v>6</c:v>
                </c:pt>
                <c:pt idx="37">
                  <c:v>6.2</c:v>
                </c:pt>
                <c:pt idx="38">
                  <c:v>6.2</c:v>
                </c:pt>
                <c:pt idx="39">
                  <c:v>6.2</c:v>
                </c:pt>
                <c:pt idx="40">
                  <c:v>6.4</c:v>
                </c:pt>
                <c:pt idx="41">
                  <c:v>6.6</c:v>
                </c:pt>
                <c:pt idx="42">
                  <c:v>6.6</c:v>
                </c:pt>
                <c:pt idx="43">
                  <c:v>6.6</c:v>
                </c:pt>
                <c:pt idx="44">
                  <c:v>6.8</c:v>
                </c:pt>
                <c:pt idx="45">
                  <c:v>6.8</c:v>
                </c:pt>
                <c:pt idx="46">
                  <c:v>7</c:v>
                </c:pt>
                <c:pt idx="47">
                  <c:v>7</c:v>
                </c:pt>
                <c:pt idx="48">
                  <c:v>7.2</c:v>
                </c:pt>
                <c:pt idx="49">
                  <c:v>7.2</c:v>
                </c:pt>
                <c:pt idx="50">
                  <c:v>7.4</c:v>
                </c:pt>
                <c:pt idx="51">
                  <c:v>7.4</c:v>
                </c:pt>
                <c:pt idx="52">
                  <c:v>7.6</c:v>
                </c:pt>
                <c:pt idx="53">
                  <c:v>7.6</c:v>
                </c:pt>
                <c:pt idx="54">
                  <c:v>7.8</c:v>
                </c:pt>
                <c:pt idx="55">
                  <c:v>7.8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8.1999999999999993</c:v>
                </c:pt>
                <c:pt idx="60">
                  <c:v>8.1999999999999993</c:v>
                </c:pt>
                <c:pt idx="61">
                  <c:v>8.1999999999999993</c:v>
                </c:pt>
                <c:pt idx="62">
                  <c:v>8.4</c:v>
                </c:pt>
                <c:pt idx="63">
                  <c:v>8.4</c:v>
                </c:pt>
                <c:pt idx="64">
                  <c:v>8.6</c:v>
                </c:pt>
                <c:pt idx="65">
                  <c:v>8.6</c:v>
                </c:pt>
                <c:pt idx="66">
                  <c:v>8.8000000000000007</c:v>
                </c:pt>
                <c:pt idx="67">
                  <c:v>8.8000000000000007</c:v>
                </c:pt>
                <c:pt idx="68">
                  <c:v>8.8000000000000007</c:v>
                </c:pt>
                <c:pt idx="69">
                  <c:v>9</c:v>
                </c:pt>
                <c:pt idx="70">
                  <c:v>9</c:v>
                </c:pt>
                <c:pt idx="71">
                  <c:v>9.1999999999999993</c:v>
                </c:pt>
                <c:pt idx="72">
                  <c:v>9.1999999999999993</c:v>
                </c:pt>
                <c:pt idx="73">
                  <c:v>9.4</c:v>
                </c:pt>
                <c:pt idx="74">
                  <c:v>9.4</c:v>
                </c:pt>
                <c:pt idx="75">
                  <c:v>9.6</c:v>
                </c:pt>
                <c:pt idx="76">
                  <c:v>9.6</c:v>
                </c:pt>
                <c:pt idx="77">
                  <c:v>9.8000000000000007</c:v>
                </c:pt>
                <c:pt idx="78">
                  <c:v>9.8000000000000007</c:v>
                </c:pt>
                <c:pt idx="79">
                  <c:v>10</c:v>
                </c:pt>
                <c:pt idx="80">
                  <c:v>10</c:v>
                </c:pt>
                <c:pt idx="81">
                  <c:v>10.199999999999999</c:v>
                </c:pt>
                <c:pt idx="82">
                  <c:v>10.199999999999999</c:v>
                </c:pt>
                <c:pt idx="83">
                  <c:v>10.4</c:v>
                </c:pt>
                <c:pt idx="84">
                  <c:v>10.4</c:v>
                </c:pt>
                <c:pt idx="85">
                  <c:v>10.4</c:v>
                </c:pt>
                <c:pt idx="86">
                  <c:v>10.6</c:v>
                </c:pt>
                <c:pt idx="87">
                  <c:v>10.8</c:v>
                </c:pt>
                <c:pt idx="88">
                  <c:v>10.8</c:v>
                </c:pt>
                <c:pt idx="89">
                  <c:v>11</c:v>
                </c:pt>
                <c:pt idx="90">
                  <c:v>11</c:v>
                </c:pt>
                <c:pt idx="91">
                  <c:v>11.2</c:v>
                </c:pt>
                <c:pt idx="92">
                  <c:v>11.2</c:v>
                </c:pt>
                <c:pt idx="93">
                  <c:v>11.4</c:v>
                </c:pt>
                <c:pt idx="94">
                  <c:v>11.6</c:v>
                </c:pt>
                <c:pt idx="95">
                  <c:v>11.6</c:v>
                </c:pt>
                <c:pt idx="96">
                  <c:v>11.6</c:v>
                </c:pt>
                <c:pt idx="97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8EE-4A48-8BB9-AF4AE38FE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385104"/>
        <c:axId val="1653380304"/>
      </c:scatterChart>
      <c:valAx>
        <c:axId val="165338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600"/>
                  <a:t>Length/RestingLength</a:t>
                </a:r>
              </a:p>
            </c:rich>
          </c:tx>
          <c:layout>
            <c:manualLayout>
              <c:xMode val="edge"/>
              <c:yMode val="edge"/>
              <c:x val="0.45565452336360762"/>
              <c:y val="0.931956521739130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380304"/>
        <c:crosses val="autoZero"/>
        <c:crossBetween val="midCat"/>
      </c:valAx>
      <c:valAx>
        <c:axId val="165338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600"/>
                  <a:t>Force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38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Rubber Tubing Force</a:t>
            </a:r>
            <a:r>
              <a:rPr lang="en-US" baseline="0"/>
              <a:t> vs Extension</a:t>
            </a:r>
            <a:endParaRPr lang="en-US"/>
          </a:p>
        </c:rich>
      </c:tx>
      <c:layout>
        <c:manualLayout>
          <c:xMode val="edge"/>
          <c:yMode val="edge"/>
          <c:x val="0.4009877472632995"/>
          <c:y val="1.8832391713747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6" Extension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'Red Bungees'!$C$4:$C$52</c:f>
              <c:numCache>
                <c:formatCode>General</c:formatCode>
                <c:ptCount val="49"/>
                <c:pt idx="0">
                  <c:v>0</c:v>
                </c:pt>
                <c:pt idx="1">
                  <c:v>6.3499999999999997E-3</c:v>
                </c:pt>
                <c:pt idx="2">
                  <c:v>1.2699999999999999E-2</c:v>
                </c:pt>
                <c:pt idx="3">
                  <c:v>1.9049999999999997E-2</c:v>
                </c:pt>
                <c:pt idx="4">
                  <c:v>2.5399999999999999E-2</c:v>
                </c:pt>
                <c:pt idx="5">
                  <c:v>3.175E-2</c:v>
                </c:pt>
                <c:pt idx="6">
                  <c:v>3.8099999999999995E-2</c:v>
                </c:pt>
                <c:pt idx="7">
                  <c:v>4.4449999999999996E-2</c:v>
                </c:pt>
                <c:pt idx="8">
                  <c:v>5.0799999999999998E-2</c:v>
                </c:pt>
                <c:pt idx="9">
                  <c:v>5.7149999999999999E-2</c:v>
                </c:pt>
                <c:pt idx="10">
                  <c:v>6.3500000000000001E-2</c:v>
                </c:pt>
                <c:pt idx="11">
                  <c:v>6.9849999999999995E-2</c:v>
                </c:pt>
                <c:pt idx="12">
                  <c:v>7.619999999999999E-2</c:v>
                </c:pt>
                <c:pt idx="13">
                  <c:v>8.2549999999999998E-2</c:v>
                </c:pt>
                <c:pt idx="14">
                  <c:v>8.8899999999999993E-2</c:v>
                </c:pt>
                <c:pt idx="15">
                  <c:v>9.5250000000000001E-2</c:v>
                </c:pt>
                <c:pt idx="16">
                  <c:v>0.1016</c:v>
                </c:pt>
                <c:pt idx="17">
                  <c:v>0.10794999999999999</c:v>
                </c:pt>
                <c:pt idx="18">
                  <c:v>0.1143</c:v>
                </c:pt>
                <c:pt idx="19">
                  <c:v>0.12064999999999999</c:v>
                </c:pt>
                <c:pt idx="20">
                  <c:v>0.127</c:v>
                </c:pt>
                <c:pt idx="21">
                  <c:v>0.13335</c:v>
                </c:pt>
                <c:pt idx="22">
                  <c:v>0.13969999999999999</c:v>
                </c:pt>
                <c:pt idx="23">
                  <c:v>0.14604999999999999</c:v>
                </c:pt>
                <c:pt idx="24">
                  <c:v>0.15239999999999998</c:v>
                </c:pt>
                <c:pt idx="25">
                  <c:v>0.15875</c:v>
                </c:pt>
                <c:pt idx="26">
                  <c:v>0.1651</c:v>
                </c:pt>
                <c:pt idx="27">
                  <c:v>0.17144999999999999</c:v>
                </c:pt>
                <c:pt idx="28">
                  <c:v>0.17779999999999999</c:v>
                </c:pt>
                <c:pt idx="29">
                  <c:v>0.18414999999999998</c:v>
                </c:pt>
                <c:pt idx="30">
                  <c:v>0.1905</c:v>
                </c:pt>
                <c:pt idx="31">
                  <c:v>0.19685</c:v>
                </c:pt>
                <c:pt idx="32">
                  <c:v>0.20319999999999999</c:v>
                </c:pt>
                <c:pt idx="33">
                  <c:v>0.20954999999999999</c:v>
                </c:pt>
                <c:pt idx="34">
                  <c:v>0.21589999999999998</c:v>
                </c:pt>
                <c:pt idx="35">
                  <c:v>0.22225</c:v>
                </c:pt>
                <c:pt idx="36">
                  <c:v>0.2286</c:v>
                </c:pt>
                <c:pt idx="37">
                  <c:v>0.23494999999999999</c:v>
                </c:pt>
                <c:pt idx="38">
                  <c:v>0.24129999999999999</c:v>
                </c:pt>
                <c:pt idx="39">
                  <c:v>0.24764999999999998</c:v>
                </c:pt>
                <c:pt idx="40">
                  <c:v>0.254</c:v>
                </c:pt>
                <c:pt idx="41">
                  <c:v>0.26034999999999997</c:v>
                </c:pt>
                <c:pt idx="42">
                  <c:v>0.26669999999999999</c:v>
                </c:pt>
                <c:pt idx="43">
                  <c:v>0.27305000000000001</c:v>
                </c:pt>
                <c:pt idx="44">
                  <c:v>0.27939999999999998</c:v>
                </c:pt>
                <c:pt idx="45">
                  <c:v>0.28575</c:v>
                </c:pt>
                <c:pt idx="46">
                  <c:v>0.29209999999999997</c:v>
                </c:pt>
                <c:pt idx="47">
                  <c:v>0.29844999999999999</c:v>
                </c:pt>
                <c:pt idx="48">
                  <c:v>0.30479999999999996</c:v>
                </c:pt>
              </c:numCache>
            </c:numRef>
          </c:xVal>
          <c:yVal>
            <c:numRef>
              <c:f>'Red Bungees'!$D$4:$D$52</c:f>
              <c:numCache>
                <c:formatCode>General</c:formatCode>
                <c:ptCount val="49"/>
                <c:pt idx="0">
                  <c:v>0</c:v>
                </c:pt>
                <c:pt idx="1">
                  <c:v>1.8</c:v>
                </c:pt>
                <c:pt idx="2">
                  <c:v>3</c:v>
                </c:pt>
                <c:pt idx="3">
                  <c:v>4.2</c:v>
                </c:pt>
                <c:pt idx="4">
                  <c:v>5.2</c:v>
                </c:pt>
                <c:pt idx="5">
                  <c:v>6.6</c:v>
                </c:pt>
                <c:pt idx="6">
                  <c:v>7.4</c:v>
                </c:pt>
                <c:pt idx="7">
                  <c:v>8.6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11.6</c:v>
                </c:pt>
                <c:pt idx="12">
                  <c:v>12.2</c:v>
                </c:pt>
                <c:pt idx="13">
                  <c:v>13</c:v>
                </c:pt>
                <c:pt idx="14">
                  <c:v>13.6</c:v>
                </c:pt>
                <c:pt idx="15">
                  <c:v>14.2</c:v>
                </c:pt>
                <c:pt idx="16">
                  <c:v>14.4</c:v>
                </c:pt>
                <c:pt idx="17">
                  <c:v>15.2</c:v>
                </c:pt>
                <c:pt idx="18">
                  <c:v>15.6</c:v>
                </c:pt>
                <c:pt idx="19">
                  <c:v>16.399999999999999</c:v>
                </c:pt>
                <c:pt idx="20">
                  <c:v>17</c:v>
                </c:pt>
                <c:pt idx="21">
                  <c:v>17.399999999999999</c:v>
                </c:pt>
                <c:pt idx="22">
                  <c:v>18</c:v>
                </c:pt>
                <c:pt idx="23">
                  <c:v>18.600000000000001</c:v>
                </c:pt>
                <c:pt idx="24">
                  <c:v>19</c:v>
                </c:pt>
                <c:pt idx="25">
                  <c:v>19.2</c:v>
                </c:pt>
                <c:pt idx="26">
                  <c:v>19.8</c:v>
                </c:pt>
                <c:pt idx="27">
                  <c:v>20.6</c:v>
                </c:pt>
                <c:pt idx="28">
                  <c:v>21</c:v>
                </c:pt>
                <c:pt idx="29">
                  <c:v>21.6</c:v>
                </c:pt>
                <c:pt idx="30">
                  <c:v>21.8</c:v>
                </c:pt>
                <c:pt idx="31">
                  <c:v>22.4</c:v>
                </c:pt>
                <c:pt idx="32">
                  <c:v>22.8</c:v>
                </c:pt>
                <c:pt idx="33">
                  <c:v>23.2</c:v>
                </c:pt>
                <c:pt idx="34">
                  <c:v>24</c:v>
                </c:pt>
                <c:pt idx="35">
                  <c:v>24.4</c:v>
                </c:pt>
                <c:pt idx="36">
                  <c:v>24.8</c:v>
                </c:pt>
                <c:pt idx="37">
                  <c:v>25.6</c:v>
                </c:pt>
                <c:pt idx="38">
                  <c:v>26</c:v>
                </c:pt>
                <c:pt idx="39">
                  <c:v>26.4</c:v>
                </c:pt>
                <c:pt idx="40">
                  <c:v>26.6</c:v>
                </c:pt>
                <c:pt idx="41">
                  <c:v>27</c:v>
                </c:pt>
                <c:pt idx="42">
                  <c:v>27.8</c:v>
                </c:pt>
                <c:pt idx="43">
                  <c:v>28.2</c:v>
                </c:pt>
                <c:pt idx="44">
                  <c:v>28.6</c:v>
                </c:pt>
                <c:pt idx="45">
                  <c:v>29</c:v>
                </c:pt>
                <c:pt idx="46">
                  <c:v>29.4</c:v>
                </c:pt>
                <c:pt idx="47">
                  <c:v>30</c:v>
                </c:pt>
                <c:pt idx="48">
                  <c:v>30.2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CB-7B4B-8329-83A1E6451E06}"/>
            </c:ext>
          </c:extLst>
        </c:ser>
        <c:ser>
          <c:idx val="1"/>
          <c:order val="1"/>
          <c:tx>
            <c:v>6" Extension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'Red Bungees'!$H$4:$H$52</c:f>
              <c:numCache>
                <c:formatCode>General</c:formatCode>
                <c:ptCount val="49"/>
                <c:pt idx="0">
                  <c:v>0</c:v>
                </c:pt>
                <c:pt idx="1">
                  <c:v>6.3499999999999997E-3</c:v>
                </c:pt>
                <c:pt idx="2">
                  <c:v>1.2699999999999999E-2</c:v>
                </c:pt>
                <c:pt idx="3">
                  <c:v>1.9049999999999997E-2</c:v>
                </c:pt>
                <c:pt idx="4">
                  <c:v>2.5399999999999999E-2</c:v>
                </c:pt>
                <c:pt idx="5">
                  <c:v>3.175E-2</c:v>
                </c:pt>
                <c:pt idx="6">
                  <c:v>3.8099999999999995E-2</c:v>
                </c:pt>
                <c:pt idx="7">
                  <c:v>4.4449999999999996E-2</c:v>
                </c:pt>
                <c:pt idx="8">
                  <c:v>5.0799999999999998E-2</c:v>
                </c:pt>
                <c:pt idx="9">
                  <c:v>5.7149999999999999E-2</c:v>
                </c:pt>
                <c:pt idx="10">
                  <c:v>6.3500000000000001E-2</c:v>
                </c:pt>
                <c:pt idx="11">
                  <c:v>6.9849999999999995E-2</c:v>
                </c:pt>
                <c:pt idx="12">
                  <c:v>7.619999999999999E-2</c:v>
                </c:pt>
                <c:pt idx="13">
                  <c:v>8.2549999999999998E-2</c:v>
                </c:pt>
                <c:pt idx="14">
                  <c:v>8.8899999999999993E-2</c:v>
                </c:pt>
                <c:pt idx="15">
                  <c:v>9.5250000000000001E-2</c:v>
                </c:pt>
                <c:pt idx="16">
                  <c:v>0.1016</c:v>
                </c:pt>
                <c:pt idx="17">
                  <c:v>0.10794999999999999</c:v>
                </c:pt>
                <c:pt idx="18">
                  <c:v>0.1143</c:v>
                </c:pt>
                <c:pt idx="19">
                  <c:v>0.12064999999999999</c:v>
                </c:pt>
                <c:pt idx="20">
                  <c:v>0.127</c:v>
                </c:pt>
                <c:pt idx="21">
                  <c:v>0.13335</c:v>
                </c:pt>
                <c:pt idx="22">
                  <c:v>0.13969999999999999</c:v>
                </c:pt>
                <c:pt idx="23">
                  <c:v>0.14604999999999999</c:v>
                </c:pt>
                <c:pt idx="24">
                  <c:v>0.15239999999999998</c:v>
                </c:pt>
                <c:pt idx="25">
                  <c:v>0.15875</c:v>
                </c:pt>
                <c:pt idx="26">
                  <c:v>0.1651</c:v>
                </c:pt>
                <c:pt idx="27">
                  <c:v>0.17144999999999999</c:v>
                </c:pt>
                <c:pt idx="28">
                  <c:v>0.17779999999999999</c:v>
                </c:pt>
                <c:pt idx="29">
                  <c:v>0.18414999999999998</c:v>
                </c:pt>
                <c:pt idx="30">
                  <c:v>0.1905</c:v>
                </c:pt>
                <c:pt idx="31">
                  <c:v>0.19685</c:v>
                </c:pt>
                <c:pt idx="32">
                  <c:v>0.20319999999999999</c:v>
                </c:pt>
                <c:pt idx="33">
                  <c:v>0.20954999999999999</c:v>
                </c:pt>
                <c:pt idx="34">
                  <c:v>0.21589999999999998</c:v>
                </c:pt>
                <c:pt idx="35">
                  <c:v>0.22225</c:v>
                </c:pt>
                <c:pt idx="36">
                  <c:v>0.2286</c:v>
                </c:pt>
                <c:pt idx="37">
                  <c:v>0.23494999999999999</c:v>
                </c:pt>
                <c:pt idx="38">
                  <c:v>0.24129999999999999</c:v>
                </c:pt>
                <c:pt idx="39">
                  <c:v>0.24764999999999998</c:v>
                </c:pt>
                <c:pt idx="40">
                  <c:v>0.254</c:v>
                </c:pt>
                <c:pt idx="41">
                  <c:v>0.26034999999999997</c:v>
                </c:pt>
                <c:pt idx="42">
                  <c:v>0.26669999999999999</c:v>
                </c:pt>
                <c:pt idx="43">
                  <c:v>0.27305000000000001</c:v>
                </c:pt>
                <c:pt idx="44">
                  <c:v>0.27939999999999998</c:v>
                </c:pt>
                <c:pt idx="45">
                  <c:v>0.28575</c:v>
                </c:pt>
                <c:pt idx="46">
                  <c:v>0.29209999999999997</c:v>
                </c:pt>
                <c:pt idx="47">
                  <c:v>0.29844999999999999</c:v>
                </c:pt>
                <c:pt idx="48">
                  <c:v>0.30479999999999996</c:v>
                </c:pt>
              </c:numCache>
            </c:numRef>
          </c:xVal>
          <c:yVal>
            <c:numRef>
              <c:f>'Red Bungees'!$I$4:$I$52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2.8</c:v>
                </c:pt>
                <c:pt idx="3">
                  <c:v>4.2</c:v>
                </c:pt>
                <c:pt idx="4">
                  <c:v>5.2</c:v>
                </c:pt>
                <c:pt idx="5">
                  <c:v>6.6</c:v>
                </c:pt>
                <c:pt idx="6">
                  <c:v>7.4</c:v>
                </c:pt>
                <c:pt idx="7">
                  <c:v>8.4</c:v>
                </c:pt>
                <c:pt idx="8">
                  <c:v>9</c:v>
                </c:pt>
                <c:pt idx="9">
                  <c:v>10</c:v>
                </c:pt>
                <c:pt idx="10">
                  <c:v>10.8</c:v>
                </c:pt>
                <c:pt idx="11">
                  <c:v>11.6</c:v>
                </c:pt>
                <c:pt idx="12">
                  <c:v>12</c:v>
                </c:pt>
                <c:pt idx="13">
                  <c:v>12.8</c:v>
                </c:pt>
                <c:pt idx="14">
                  <c:v>13.2</c:v>
                </c:pt>
                <c:pt idx="15">
                  <c:v>14</c:v>
                </c:pt>
                <c:pt idx="16">
                  <c:v>14.4</c:v>
                </c:pt>
                <c:pt idx="17">
                  <c:v>15</c:v>
                </c:pt>
                <c:pt idx="18">
                  <c:v>15.6</c:v>
                </c:pt>
                <c:pt idx="19">
                  <c:v>16</c:v>
                </c:pt>
                <c:pt idx="20">
                  <c:v>16.600000000000001</c:v>
                </c:pt>
                <c:pt idx="21">
                  <c:v>17</c:v>
                </c:pt>
                <c:pt idx="22">
                  <c:v>17.399999999999999</c:v>
                </c:pt>
                <c:pt idx="23">
                  <c:v>18</c:v>
                </c:pt>
                <c:pt idx="24">
                  <c:v>18.600000000000001</c:v>
                </c:pt>
                <c:pt idx="25">
                  <c:v>19</c:v>
                </c:pt>
                <c:pt idx="26">
                  <c:v>19.399999999999999</c:v>
                </c:pt>
                <c:pt idx="27">
                  <c:v>19.8</c:v>
                </c:pt>
                <c:pt idx="28">
                  <c:v>20.399999999999999</c:v>
                </c:pt>
                <c:pt idx="29">
                  <c:v>20.6</c:v>
                </c:pt>
                <c:pt idx="30">
                  <c:v>21.2</c:v>
                </c:pt>
                <c:pt idx="31">
                  <c:v>21.6</c:v>
                </c:pt>
                <c:pt idx="32">
                  <c:v>22</c:v>
                </c:pt>
                <c:pt idx="33">
                  <c:v>22.4</c:v>
                </c:pt>
                <c:pt idx="34">
                  <c:v>22.8</c:v>
                </c:pt>
                <c:pt idx="35">
                  <c:v>23.2</c:v>
                </c:pt>
                <c:pt idx="36">
                  <c:v>23.8</c:v>
                </c:pt>
                <c:pt idx="37">
                  <c:v>24.4</c:v>
                </c:pt>
                <c:pt idx="38">
                  <c:v>24.8</c:v>
                </c:pt>
                <c:pt idx="39">
                  <c:v>25</c:v>
                </c:pt>
                <c:pt idx="40">
                  <c:v>25.6</c:v>
                </c:pt>
                <c:pt idx="41">
                  <c:v>26</c:v>
                </c:pt>
                <c:pt idx="42">
                  <c:v>26.6</c:v>
                </c:pt>
                <c:pt idx="43">
                  <c:v>27.2</c:v>
                </c:pt>
                <c:pt idx="44">
                  <c:v>27.6</c:v>
                </c:pt>
                <c:pt idx="45">
                  <c:v>28</c:v>
                </c:pt>
                <c:pt idx="46">
                  <c:v>28.6</c:v>
                </c:pt>
                <c:pt idx="47">
                  <c:v>29.2</c:v>
                </c:pt>
                <c:pt idx="48">
                  <c:v>29.4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CB-7B4B-8329-83A1E6451E06}"/>
            </c:ext>
          </c:extLst>
        </c:ser>
        <c:ser>
          <c:idx val="2"/>
          <c:order val="2"/>
          <c:tx>
            <c:v>6" Extension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'Red Bungees'!$M$4:$M$52</c:f>
              <c:numCache>
                <c:formatCode>General</c:formatCode>
                <c:ptCount val="49"/>
                <c:pt idx="0">
                  <c:v>0</c:v>
                </c:pt>
                <c:pt idx="1">
                  <c:v>6.3499999999999997E-3</c:v>
                </c:pt>
                <c:pt idx="2">
                  <c:v>1.2699999999999999E-2</c:v>
                </c:pt>
                <c:pt idx="3">
                  <c:v>1.9049999999999997E-2</c:v>
                </c:pt>
                <c:pt idx="4">
                  <c:v>2.5399999999999999E-2</c:v>
                </c:pt>
                <c:pt idx="5">
                  <c:v>3.175E-2</c:v>
                </c:pt>
                <c:pt idx="6">
                  <c:v>3.8099999999999995E-2</c:v>
                </c:pt>
                <c:pt idx="7">
                  <c:v>4.4449999999999996E-2</c:v>
                </c:pt>
                <c:pt idx="8">
                  <c:v>5.0799999999999998E-2</c:v>
                </c:pt>
                <c:pt idx="9">
                  <c:v>5.7149999999999999E-2</c:v>
                </c:pt>
                <c:pt idx="10">
                  <c:v>6.3500000000000001E-2</c:v>
                </c:pt>
                <c:pt idx="11">
                  <c:v>6.9849999999999995E-2</c:v>
                </c:pt>
                <c:pt idx="12">
                  <c:v>7.619999999999999E-2</c:v>
                </c:pt>
                <c:pt idx="13">
                  <c:v>8.2549999999999998E-2</c:v>
                </c:pt>
                <c:pt idx="14">
                  <c:v>8.8899999999999993E-2</c:v>
                </c:pt>
                <c:pt idx="15">
                  <c:v>9.5250000000000001E-2</c:v>
                </c:pt>
                <c:pt idx="16">
                  <c:v>0.1016</c:v>
                </c:pt>
                <c:pt idx="17">
                  <c:v>0.10794999999999999</c:v>
                </c:pt>
                <c:pt idx="18">
                  <c:v>0.1143</c:v>
                </c:pt>
                <c:pt idx="19">
                  <c:v>0.12064999999999999</c:v>
                </c:pt>
                <c:pt idx="20">
                  <c:v>0.127</c:v>
                </c:pt>
                <c:pt idx="21">
                  <c:v>0.13335</c:v>
                </c:pt>
                <c:pt idx="22">
                  <c:v>0.13969999999999999</c:v>
                </c:pt>
                <c:pt idx="23">
                  <c:v>0.14604999999999999</c:v>
                </c:pt>
                <c:pt idx="24">
                  <c:v>0.15239999999999998</c:v>
                </c:pt>
                <c:pt idx="25">
                  <c:v>0.15875</c:v>
                </c:pt>
                <c:pt idx="26">
                  <c:v>0.1651</c:v>
                </c:pt>
                <c:pt idx="27">
                  <c:v>0.17144999999999999</c:v>
                </c:pt>
                <c:pt idx="28">
                  <c:v>0.17779999999999999</c:v>
                </c:pt>
                <c:pt idx="29">
                  <c:v>0.18414999999999998</c:v>
                </c:pt>
                <c:pt idx="30">
                  <c:v>0.1905</c:v>
                </c:pt>
                <c:pt idx="31">
                  <c:v>0.19685</c:v>
                </c:pt>
                <c:pt idx="32">
                  <c:v>0.20319999999999999</c:v>
                </c:pt>
                <c:pt idx="33">
                  <c:v>0.20954999999999999</c:v>
                </c:pt>
                <c:pt idx="34">
                  <c:v>0.21589999999999998</c:v>
                </c:pt>
                <c:pt idx="35">
                  <c:v>0.22225</c:v>
                </c:pt>
                <c:pt idx="36">
                  <c:v>0.2286</c:v>
                </c:pt>
                <c:pt idx="37">
                  <c:v>0.23494999999999999</c:v>
                </c:pt>
                <c:pt idx="38">
                  <c:v>0.24129999999999999</c:v>
                </c:pt>
                <c:pt idx="39">
                  <c:v>0.24764999999999998</c:v>
                </c:pt>
                <c:pt idx="40">
                  <c:v>0.254</c:v>
                </c:pt>
                <c:pt idx="41">
                  <c:v>0.26034999999999997</c:v>
                </c:pt>
                <c:pt idx="42">
                  <c:v>0.26669999999999999</c:v>
                </c:pt>
                <c:pt idx="43">
                  <c:v>0.27305000000000001</c:v>
                </c:pt>
                <c:pt idx="44">
                  <c:v>0.27939999999999998</c:v>
                </c:pt>
                <c:pt idx="45">
                  <c:v>0.28575</c:v>
                </c:pt>
                <c:pt idx="46">
                  <c:v>0.29209999999999997</c:v>
                </c:pt>
                <c:pt idx="47">
                  <c:v>0.29844999999999999</c:v>
                </c:pt>
                <c:pt idx="48">
                  <c:v>0.30479999999999996</c:v>
                </c:pt>
              </c:numCache>
            </c:numRef>
          </c:xVal>
          <c:yVal>
            <c:numRef>
              <c:f>'Red Bungees'!$N$4:$N$52</c:f>
              <c:numCache>
                <c:formatCode>General</c:formatCode>
                <c:ptCount val="49"/>
                <c:pt idx="0">
                  <c:v>0</c:v>
                </c:pt>
                <c:pt idx="1">
                  <c:v>2</c:v>
                </c:pt>
                <c:pt idx="2">
                  <c:v>3.4</c:v>
                </c:pt>
                <c:pt idx="3">
                  <c:v>4.4000000000000004</c:v>
                </c:pt>
                <c:pt idx="4">
                  <c:v>6</c:v>
                </c:pt>
                <c:pt idx="5">
                  <c:v>6</c:v>
                </c:pt>
                <c:pt idx="6">
                  <c:v>6.6</c:v>
                </c:pt>
                <c:pt idx="7">
                  <c:v>8</c:v>
                </c:pt>
                <c:pt idx="8">
                  <c:v>9</c:v>
                </c:pt>
                <c:pt idx="9">
                  <c:v>9.6</c:v>
                </c:pt>
                <c:pt idx="10">
                  <c:v>10.199999999999999</c:v>
                </c:pt>
                <c:pt idx="11">
                  <c:v>10.8</c:v>
                </c:pt>
                <c:pt idx="12">
                  <c:v>12.8</c:v>
                </c:pt>
                <c:pt idx="13">
                  <c:v>13.4</c:v>
                </c:pt>
                <c:pt idx="14">
                  <c:v>13.8</c:v>
                </c:pt>
                <c:pt idx="15">
                  <c:v>14.4</c:v>
                </c:pt>
                <c:pt idx="16">
                  <c:v>14.8</c:v>
                </c:pt>
                <c:pt idx="17">
                  <c:v>15.4</c:v>
                </c:pt>
                <c:pt idx="18">
                  <c:v>15.8</c:v>
                </c:pt>
                <c:pt idx="19">
                  <c:v>16.399999999999999</c:v>
                </c:pt>
                <c:pt idx="20">
                  <c:v>16.600000000000001</c:v>
                </c:pt>
                <c:pt idx="21">
                  <c:v>17.399999999999999</c:v>
                </c:pt>
                <c:pt idx="22">
                  <c:v>17.8</c:v>
                </c:pt>
                <c:pt idx="23">
                  <c:v>18.399999999999999</c:v>
                </c:pt>
                <c:pt idx="24">
                  <c:v>18.8</c:v>
                </c:pt>
                <c:pt idx="25">
                  <c:v>19.399999999999999</c:v>
                </c:pt>
                <c:pt idx="26">
                  <c:v>19.600000000000001</c:v>
                </c:pt>
                <c:pt idx="27">
                  <c:v>20</c:v>
                </c:pt>
                <c:pt idx="28">
                  <c:v>20.399999999999999</c:v>
                </c:pt>
                <c:pt idx="29">
                  <c:v>21</c:v>
                </c:pt>
                <c:pt idx="30">
                  <c:v>21.4</c:v>
                </c:pt>
                <c:pt idx="31">
                  <c:v>21.8</c:v>
                </c:pt>
                <c:pt idx="32">
                  <c:v>22.2</c:v>
                </c:pt>
                <c:pt idx="33">
                  <c:v>22.8</c:v>
                </c:pt>
                <c:pt idx="34">
                  <c:v>23.2</c:v>
                </c:pt>
                <c:pt idx="35">
                  <c:v>23.6</c:v>
                </c:pt>
                <c:pt idx="36">
                  <c:v>24.6</c:v>
                </c:pt>
                <c:pt idx="37">
                  <c:v>24.4</c:v>
                </c:pt>
                <c:pt idx="38">
                  <c:v>25</c:v>
                </c:pt>
                <c:pt idx="39">
                  <c:v>25.2</c:v>
                </c:pt>
                <c:pt idx="40">
                  <c:v>25.8</c:v>
                </c:pt>
                <c:pt idx="41">
                  <c:v>26.4</c:v>
                </c:pt>
                <c:pt idx="42">
                  <c:v>27</c:v>
                </c:pt>
                <c:pt idx="43">
                  <c:v>27.4</c:v>
                </c:pt>
                <c:pt idx="44">
                  <c:v>28</c:v>
                </c:pt>
                <c:pt idx="45">
                  <c:v>28.4</c:v>
                </c:pt>
                <c:pt idx="46">
                  <c:v>29</c:v>
                </c:pt>
                <c:pt idx="47">
                  <c:v>29.4</c:v>
                </c:pt>
                <c:pt idx="48">
                  <c:v>29.6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CB-7B4B-8329-83A1E6451E06}"/>
            </c:ext>
          </c:extLst>
        </c:ser>
        <c:ser>
          <c:idx val="3"/>
          <c:order val="3"/>
          <c:tx>
            <c:v>12" Extension 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'Red Bungees'!$S$4:$S$52</c:f>
              <c:numCache>
                <c:formatCode>General</c:formatCode>
                <c:ptCount val="49"/>
                <c:pt idx="0">
                  <c:v>0</c:v>
                </c:pt>
                <c:pt idx="1">
                  <c:v>1.2699999999999999E-2</c:v>
                </c:pt>
                <c:pt idx="2">
                  <c:v>2.5399999999999999E-2</c:v>
                </c:pt>
                <c:pt idx="3">
                  <c:v>3.8099999999999995E-2</c:v>
                </c:pt>
                <c:pt idx="4">
                  <c:v>5.0799999999999998E-2</c:v>
                </c:pt>
                <c:pt idx="5">
                  <c:v>6.3500000000000001E-2</c:v>
                </c:pt>
                <c:pt idx="6">
                  <c:v>7.619999999999999E-2</c:v>
                </c:pt>
                <c:pt idx="7">
                  <c:v>8.8899999999999993E-2</c:v>
                </c:pt>
                <c:pt idx="8">
                  <c:v>0.1016</c:v>
                </c:pt>
                <c:pt idx="9">
                  <c:v>0.1143</c:v>
                </c:pt>
                <c:pt idx="10">
                  <c:v>0.127</c:v>
                </c:pt>
                <c:pt idx="11">
                  <c:v>0.13969999999999999</c:v>
                </c:pt>
                <c:pt idx="12">
                  <c:v>0.15239999999999998</c:v>
                </c:pt>
                <c:pt idx="13">
                  <c:v>0.1651</c:v>
                </c:pt>
                <c:pt idx="14">
                  <c:v>0.17779999999999999</c:v>
                </c:pt>
                <c:pt idx="15">
                  <c:v>0.1905</c:v>
                </c:pt>
                <c:pt idx="16">
                  <c:v>0.20319999999999999</c:v>
                </c:pt>
                <c:pt idx="17">
                  <c:v>0.21589999999999998</c:v>
                </c:pt>
                <c:pt idx="18">
                  <c:v>0.2286</c:v>
                </c:pt>
                <c:pt idx="19">
                  <c:v>0.24129999999999999</c:v>
                </c:pt>
                <c:pt idx="20">
                  <c:v>0.254</c:v>
                </c:pt>
                <c:pt idx="21">
                  <c:v>0.26669999999999999</c:v>
                </c:pt>
                <c:pt idx="22">
                  <c:v>0.27939999999999998</c:v>
                </c:pt>
                <c:pt idx="23">
                  <c:v>0.29209999999999997</c:v>
                </c:pt>
                <c:pt idx="24">
                  <c:v>0.30479999999999996</c:v>
                </c:pt>
                <c:pt idx="25">
                  <c:v>0.3175</c:v>
                </c:pt>
                <c:pt idx="26">
                  <c:v>0.33019999999999999</c:v>
                </c:pt>
                <c:pt idx="27">
                  <c:v>0.34289999999999998</c:v>
                </c:pt>
                <c:pt idx="28">
                  <c:v>0.35559999999999997</c:v>
                </c:pt>
                <c:pt idx="29">
                  <c:v>0.36829999999999996</c:v>
                </c:pt>
                <c:pt idx="30">
                  <c:v>0.38100000000000001</c:v>
                </c:pt>
                <c:pt idx="31">
                  <c:v>0.39369999999999999</c:v>
                </c:pt>
                <c:pt idx="32">
                  <c:v>0.40639999999999998</c:v>
                </c:pt>
                <c:pt idx="33">
                  <c:v>0.41909999999999997</c:v>
                </c:pt>
                <c:pt idx="34">
                  <c:v>0.43179999999999996</c:v>
                </c:pt>
                <c:pt idx="35">
                  <c:v>0.44450000000000001</c:v>
                </c:pt>
                <c:pt idx="36">
                  <c:v>0.4572</c:v>
                </c:pt>
                <c:pt idx="37">
                  <c:v>0.46989999999999998</c:v>
                </c:pt>
                <c:pt idx="38">
                  <c:v>0.48259999999999997</c:v>
                </c:pt>
                <c:pt idx="39">
                  <c:v>0.49529999999999996</c:v>
                </c:pt>
                <c:pt idx="40">
                  <c:v>0.50800000000000001</c:v>
                </c:pt>
                <c:pt idx="41">
                  <c:v>0.52069999999999994</c:v>
                </c:pt>
                <c:pt idx="42">
                  <c:v>0.53339999999999999</c:v>
                </c:pt>
                <c:pt idx="43">
                  <c:v>0.54610000000000003</c:v>
                </c:pt>
                <c:pt idx="44">
                  <c:v>0.55879999999999996</c:v>
                </c:pt>
                <c:pt idx="45">
                  <c:v>0.57150000000000001</c:v>
                </c:pt>
                <c:pt idx="46">
                  <c:v>0.58419999999999994</c:v>
                </c:pt>
                <c:pt idx="47">
                  <c:v>0.59689999999999999</c:v>
                </c:pt>
                <c:pt idx="48">
                  <c:v>0.60959999999999992</c:v>
                </c:pt>
              </c:numCache>
            </c:numRef>
          </c:xVal>
          <c:yVal>
            <c:numRef>
              <c:f>'Red Bungees'!$T$4:$T$52</c:f>
              <c:numCache>
                <c:formatCode>General</c:formatCode>
                <c:ptCount val="49"/>
                <c:pt idx="0">
                  <c:v>0</c:v>
                </c:pt>
                <c:pt idx="1">
                  <c:v>1.8</c:v>
                </c:pt>
                <c:pt idx="2">
                  <c:v>4</c:v>
                </c:pt>
                <c:pt idx="3">
                  <c:v>5.4</c:v>
                </c:pt>
                <c:pt idx="4">
                  <c:v>6.8</c:v>
                </c:pt>
                <c:pt idx="5">
                  <c:v>8.4</c:v>
                </c:pt>
                <c:pt idx="6">
                  <c:v>9.4</c:v>
                </c:pt>
                <c:pt idx="7">
                  <c:v>10.5</c:v>
                </c:pt>
                <c:pt idx="8">
                  <c:v>11.2</c:v>
                </c:pt>
                <c:pt idx="9">
                  <c:v>12.6</c:v>
                </c:pt>
                <c:pt idx="10">
                  <c:v>13.4</c:v>
                </c:pt>
                <c:pt idx="11">
                  <c:v>14</c:v>
                </c:pt>
                <c:pt idx="12">
                  <c:v>14.8</c:v>
                </c:pt>
                <c:pt idx="13">
                  <c:v>15.4</c:v>
                </c:pt>
                <c:pt idx="14">
                  <c:v>16.2</c:v>
                </c:pt>
                <c:pt idx="15">
                  <c:v>16.8</c:v>
                </c:pt>
                <c:pt idx="16">
                  <c:v>17.399999999999999</c:v>
                </c:pt>
                <c:pt idx="17">
                  <c:v>17.8</c:v>
                </c:pt>
                <c:pt idx="18">
                  <c:v>18.8</c:v>
                </c:pt>
                <c:pt idx="19">
                  <c:v>19</c:v>
                </c:pt>
                <c:pt idx="20">
                  <c:v>19.399999999999999</c:v>
                </c:pt>
                <c:pt idx="21">
                  <c:v>20.2</c:v>
                </c:pt>
                <c:pt idx="22">
                  <c:v>20.6</c:v>
                </c:pt>
                <c:pt idx="23">
                  <c:v>21.2</c:v>
                </c:pt>
                <c:pt idx="24">
                  <c:v>21.6</c:v>
                </c:pt>
                <c:pt idx="25">
                  <c:v>22.2</c:v>
                </c:pt>
                <c:pt idx="26">
                  <c:v>22.4</c:v>
                </c:pt>
                <c:pt idx="27">
                  <c:v>23</c:v>
                </c:pt>
                <c:pt idx="28">
                  <c:v>23.6</c:v>
                </c:pt>
                <c:pt idx="29">
                  <c:v>24</c:v>
                </c:pt>
                <c:pt idx="30">
                  <c:v>24.2</c:v>
                </c:pt>
                <c:pt idx="31">
                  <c:v>24.8</c:v>
                </c:pt>
                <c:pt idx="32">
                  <c:v>25.2</c:v>
                </c:pt>
                <c:pt idx="33">
                  <c:v>25.8</c:v>
                </c:pt>
                <c:pt idx="34">
                  <c:v>26.2</c:v>
                </c:pt>
                <c:pt idx="35">
                  <c:v>26.8</c:v>
                </c:pt>
                <c:pt idx="36">
                  <c:v>27.2</c:v>
                </c:pt>
                <c:pt idx="37">
                  <c:v>27.6</c:v>
                </c:pt>
                <c:pt idx="38">
                  <c:v>28.2</c:v>
                </c:pt>
                <c:pt idx="39">
                  <c:v>28.6</c:v>
                </c:pt>
                <c:pt idx="40">
                  <c:v>29.2</c:v>
                </c:pt>
                <c:pt idx="41">
                  <c:v>29.6</c:v>
                </c:pt>
                <c:pt idx="42">
                  <c:v>30</c:v>
                </c:pt>
                <c:pt idx="43">
                  <c:v>30.4</c:v>
                </c:pt>
                <c:pt idx="44">
                  <c:v>31</c:v>
                </c:pt>
                <c:pt idx="45">
                  <c:v>31.4</c:v>
                </c:pt>
                <c:pt idx="46">
                  <c:v>31.8</c:v>
                </c:pt>
                <c:pt idx="47">
                  <c:v>32.4</c:v>
                </c:pt>
                <c:pt idx="48">
                  <c:v>32.799999999999997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CB-7B4B-8329-83A1E6451E06}"/>
            </c:ext>
          </c:extLst>
        </c:ser>
        <c:ser>
          <c:idx val="4"/>
          <c:order val="4"/>
          <c:tx>
            <c:v>12" Extension 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'Red Bungees'!$X$4:$X$52</c:f>
              <c:numCache>
                <c:formatCode>General</c:formatCode>
                <c:ptCount val="49"/>
                <c:pt idx="0">
                  <c:v>0</c:v>
                </c:pt>
                <c:pt idx="1">
                  <c:v>1.2699999999999999E-2</c:v>
                </c:pt>
                <c:pt idx="2">
                  <c:v>2.5399999999999999E-2</c:v>
                </c:pt>
                <c:pt idx="3">
                  <c:v>3.8099999999999995E-2</c:v>
                </c:pt>
                <c:pt idx="4">
                  <c:v>5.0799999999999998E-2</c:v>
                </c:pt>
                <c:pt idx="5">
                  <c:v>6.3500000000000001E-2</c:v>
                </c:pt>
                <c:pt idx="6">
                  <c:v>7.619999999999999E-2</c:v>
                </c:pt>
                <c:pt idx="7">
                  <c:v>8.8899999999999993E-2</c:v>
                </c:pt>
                <c:pt idx="8">
                  <c:v>0.1016</c:v>
                </c:pt>
                <c:pt idx="9">
                  <c:v>0.1143</c:v>
                </c:pt>
                <c:pt idx="10">
                  <c:v>0.127</c:v>
                </c:pt>
                <c:pt idx="11">
                  <c:v>0.13969999999999999</c:v>
                </c:pt>
                <c:pt idx="12">
                  <c:v>0.15239999999999998</c:v>
                </c:pt>
                <c:pt idx="13">
                  <c:v>0.1651</c:v>
                </c:pt>
                <c:pt idx="14">
                  <c:v>0.17779999999999999</c:v>
                </c:pt>
                <c:pt idx="15">
                  <c:v>0.1905</c:v>
                </c:pt>
                <c:pt idx="16">
                  <c:v>0.20319999999999999</c:v>
                </c:pt>
                <c:pt idx="17">
                  <c:v>0.21589999999999998</c:v>
                </c:pt>
                <c:pt idx="18">
                  <c:v>0.2286</c:v>
                </c:pt>
                <c:pt idx="19">
                  <c:v>0.24129999999999999</c:v>
                </c:pt>
                <c:pt idx="20">
                  <c:v>0.254</c:v>
                </c:pt>
                <c:pt idx="21">
                  <c:v>0.26669999999999999</c:v>
                </c:pt>
                <c:pt idx="22">
                  <c:v>0.27939999999999998</c:v>
                </c:pt>
                <c:pt idx="23">
                  <c:v>0.29209999999999997</c:v>
                </c:pt>
                <c:pt idx="24">
                  <c:v>0.30479999999999996</c:v>
                </c:pt>
                <c:pt idx="25">
                  <c:v>0.3175</c:v>
                </c:pt>
                <c:pt idx="26">
                  <c:v>0.33019999999999999</c:v>
                </c:pt>
                <c:pt idx="27">
                  <c:v>0.34289999999999998</c:v>
                </c:pt>
                <c:pt idx="28">
                  <c:v>0.35559999999999997</c:v>
                </c:pt>
                <c:pt idx="29">
                  <c:v>0.36829999999999996</c:v>
                </c:pt>
                <c:pt idx="30">
                  <c:v>0.38100000000000001</c:v>
                </c:pt>
                <c:pt idx="31">
                  <c:v>0.39369999999999999</c:v>
                </c:pt>
                <c:pt idx="32">
                  <c:v>0.40639999999999998</c:v>
                </c:pt>
                <c:pt idx="33">
                  <c:v>0.41909999999999997</c:v>
                </c:pt>
                <c:pt idx="34">
                  <c:v>0.43179999999999996</c:v>
                </c:pt>
                <c:pt idx="35">
                  <c:v>0.44450000000000001</c:v>
                </c:pt>
                <c:pt idx="36">
                  <c:v>0.4572</c:v>
                </c:pt>
                <c:pt idx="37">
                  <c:v>0.46989999999999998</c:v>
                </c:pt>
                <c:pt idx="38">
                  <c:v>0.48259999999999997</c:v>
                </c:pt>
                <c:pt idx="39">
                  <c:v>0.49529999999999996</c:v>
                </c:pt>
                <c:pt idx="40">
                  <c:v>0.50800000000000001</c:v>
                </c:pt>
                <c:pt idx="41">
                  <c:v>0.52069999999999994</c:v>
                </c:pt>
                <c:pt idx="42">
                  <c:v>0.53339999999999999</c:v>
                </c:pt>
                <c:pt idx="43">
                  <c:v>0.54610000000000003</c:v>
                </c:pt>
                <c:pt idx="44">
                  <c:v>0.55879999999999996</c:v>
                </c:pt>
                <c:pt idx="45">
                  <c:v>0.57150000000000001</c:v>
                </c:pt>
                <c:pt idx="46">
                  <c:v>0.58419999999999994</c:v>
                </c:pt>
                <c:pt idx="47">
                  <c:v>0.59689999999999999</c:v>
                </c:pt>
                <c:pt idx="48">
                  <c:v>0.60959999999999992</c:v>
                </c:pt>
              </c:numCache>
            </c:numRef>
          </c:xVal>
          <c:yVal>
            <c:numRef>
              <c:f>'Red Bungees'!$Y$4:$Y$52</c:f>
              <c:numCache>
                <c:formatCode>General</c:formatCode>
                <c:ptCount val="49"/>
                <c:pt idx="0">
                  <c:v>0</c:v>
                </c:pt>
                <c:pt idx="1">
                  <c:v>2.2000000000000002</c:v>
                </c:pt>
                <c:pt idx="2">
                  <c:v>3.6</c:v>
                </c:pt>
                <c:pt idx="3">
                  <c:v>5</c:v>
                </c:pt>
                <c:pt idx="4">
                  <c:v>6</c:v>
                </c:pt>
                <c:pt idx="5">
                  <c:v>7.2</c:v>
                </c:pt>
                <c:pt idx="6">
                  <c:v>8</c:v>
                </c:pt>
                <c:pt idx="7">
                  <c:v>8.8000000000000007</c:v>
                </c:pt>
                <c:pt idx="8">
                  <c:v>9.8000000000000007</c:v>
                </c:pt>
                <c:pt idx="9">
                  <c:v>10.4</c:v>
                </c:pt>
                <c:pt idx="10">
                  <c:v>11.6</c:v>
                </c:pt>
                <c:pt idx="11">
                  <c:v>12.2</c:v>
                </c:pt>
                <c:pt idx="12">
                  <c:v>12.8</c:v>
                </c:pt>
                <c:pt idx="13">
                  <c:v>13.4</c:v>
                </c:pt>
                <c:pt idx="14">
                  <c:v>14</c:v>
                </c:pt>
                <c:pt idx="15">
                  <c:v>14.6</c:v>
                </c:pt>
                <c:pt idx="16">
                  <c:v>15.2</c:v>
                </c:pt>
                <c:pt idx="17">
                  <c:v>15.6</c:v>
                </c:pt>
                <c:pt idx="18">
                  <c:v>16.2</c:v>
                </c:pt>
                <c:pt idx="19">
                  <c:v>16.600000000000001</c:v>
                </c:pt>
                <c:pt idx="20">
                  <c:v>17</c:v>
                </c:pt>
                <c:pt idx="21">
                  <c:v>17.600000000000001</c:v>
                </c:pt>
                <c:pt idx="22">
                  <c:v>18.2</c:v>
                </c:pt>
                <c:pt idx="23">
                  <c:v>18.600000000000001</c:v>
                </c:pt>
                <c:pt idx="24">
                  <c:v>19</c:v>
                </c:pt>
                <c:pt idx="25">
                  <c:v>19.399999999999999</c:v>
                </c:pt>
                <c:pt idx="26">
                  <c:v>19.8</c:v>
                </c:pt>
                <c:pt idx="27">
                  <c:v>20.399999999999999</c:v>
                </c:pt>
                <c:pt idx="28">
                  <c:v>20.8</c:v>
                </c:pt>
                <c:pt idx="29">
                  <c:v>21.2</c:v>
                </c:pt>
                <c:pt idx="30">
                  <c:v>22</c:v>
                </c:pt>
                <c:pt idx="31">
                  <c:v>22.6</c:v>
                </c:pt>
                <c:pt idx="32">
                  <c:v>23</c:v>
                </c:pt>
                <c:pt idx="33">
                  <c:v>23.6</c:v>
                </c:pt>
                <c:pt idx="34">
                  <c:v>24</c:v>
                </c:pt>
                <c:pt idx="35">
                  <c:v>24.6</c:v>
                </c:pt>
                <c:pt idx="36">
                  <c:v>25.2</c:v>
                </c:pt>
                <c:pt idx="37">
                  <c:v>25.6</c:v>
                </c:pt>
                <c:pt idx="38">
                  <c:v>26.2</c:v>
                </c:pt>
                <c:pt idx="39">
                  <c:v>26.6</c:v>
                </c:pt>
                <c:pt idx="40">
                  <c:v>27</c:v>
                </c:pt>
                <c:pt idx="41">
                  <c:v>27.6</c:v>
                </c:pt>
                <c:pt idx="42">
                  <c:v>28.2</c:v>
                </c:pt>
                <c:pt idx="43">
                  <c:v>28.8</c:v>
                </c:pt>
                <c:pt idx="44">
                  <c:v>29.2</c:v>
                </c:pt>
                <c:pt idx="45">
                  <c:v>30</c:v>
                </c:pt>
                <c:pt idx="46">
                  <c:v>30.4</c:v>
                </c:pt>
                <c:pt idx="47">
                  <c:v>31.2</c:v>
                </c:pt>
                <c:pt idx="48">
                  <c:v>31.8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4CB-7B4B-8329-83A1E6451E06}"/>
            </c:ext>
          </c:extLst>
        </c:ser>
        <c:ser>
          <c:idx val="5"/>
          <c:order val="5"/>
          <c:tx>
            <c:v>12" Extension 3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'Red Bungees'!$AC$4:$AC$52</c:f>
              <c:numCache>
                <c:formatCode>General</c:formatCode>
                <c:ptCount val="49"/>
                <c:pt idx="0">
                  <c:v>0</c:v>
                </c:pt>
                <c:pt idx="1">
                  <c:v>1.2699999999999999E-2</c:v>
                </c:pt>
                <c:pt idx="2">
                  <c:v>2.5399999999999999E-2</c:v>
                </c:pt>
                <c:pt idx="3">
                  <c:v>3.8099999999999995E-2</c:v>
                </c:pt>
                <c:pt idx="4">
                  <c:v>5.0799999999999998E-2</c:v>
                </c:pt>
                <c:pt idx="5">
                  <c:v>6.3500000000000001E-2</c:v>
                </c:pt>
                <c:pt idx="6">
                  <c:v>7.619999999999999E-2</c:v>
                </c:pt>
                <c:pt idx="7">
                  <c:v>8.8899999999999993E-2</c:v>
                </c:pt>
                <c:pt idx="8">
                  <c:v>0.1016</c:v>
                </c:pt>
                <c:pt idx="9">
                  <c:v>0.1143</c:v>
                </c:pt>
                <c:pt idx="10">
                  <c:v>0.127</c:v>
                </c:pt>
                <c:pt idx="11">
                  <c:v>0.13969999999999999</c:v>
                </c:pt>
                <c:pt idx="12">
                  <c:v>0.15239999999999998</c:v>
                </c:pt>
                <c:pt idx="13">
                  <c:v>0.1651</c:v>
                </c:pt>
                <c:pt idx="14">
                  <c:v>0.17779999999999999</c:v>
                </c:pt>
                <c:pt idx="15">
                  <c:v>0.1905</c:v>
                </c:pt>
                <c:pt idx="16">
                  <c:v>0.20319999999999999</c:v>
                </c:pt>
                <c:pt idx="17">
                  <c:v>0.21589999999999998</c:v>
                </c:pt>
                <c:pt idx="18">
                  <c:v>0.2286</c:v>
                </c:pt>
                <c:pt idx="19">
                  <c:v>0.24129999999999999</c:v>
                </c:pt>
                <c:pt idx="20">
                  <c:v>0.254</c:v>
                </c:pt>
                <c:pt idx="21">
                  <c:v>0.26669999999999999</c:v>
                </c:pt>
                <c:pt idx="22">
                  <c:v>0.27939999999999998</c:v>
                </c:pt>
                <c:pt idx="23">
                  <c:v>0.29209999999999997</c:v>
                </c:pt>
                <c:pt idx="24">
                  <c:v>0.30479999999999996</c:v>
                </c:pt>
                <c:pt idx="25">
                  <c:v>0.3175</c:v>
                </c:pt>
                <c:pt idx="26">
                  <c:v>0.33019999999999999</c:v>
                </c:pt>
                <c:pt idx="27">
                  <c:v>0.34289999999999998</c:v>
                </c:pt>
                <c:pt idx="28">
                  <c:v>0.35559999999999997</c:v>
                </c:pt>
                <c:pt idx="29">
                  <c:v>0.36829999999999996</c:v>
                </c:pt>
                <c:pt idx="30">
                  <c:v>0.38100000000000001</c:v>
                </c:pt>
                <c:pt idx="31">
                  <c:v>0.39369999999999999</c:v>
                </c:pt>
                <c:pt idx="32">
                  <c:v>0.40639999999999998</c:v>
                </c:pt>
                <c:pt idx="33">
                  <c:v>0.41909999999999997</c:v>
                </c:pt>
                <c:pt idx="34">
                  <c:v>0.43179999999999996</c:v>
                </c:pt>
                <c:pt idx="35">
                  <c:v>0.44450000000000001</c:v>
                </c:pt>
                <c:pt idx="36">
                  <c:v>0.4572</c:v>
                </c:pt>
                <c:pt idx="37">
                  <c:v>0.46989999999999998</c:v>
                </c:pt>
                <c:pt idx="38">
                  <c:v>0.48259999999999997</c:v>
                </c:pt>
                <c:pt idx="39">
                  <c:v>0.49529999999999996</c:v>
                </c:pt>
                <c:pt idx="40">
                  <c:v>0.50800000000000001</c:v>
                </c:pt>
                <c:pt idx="41">
                  <c:v>0.52069999999999994</c:v>
                </c:pt>
                <c:pt idx="42">
                  <c:v>0.53339999999999999</c:v>
                </c:pt>
                <c:pt idx="43">
                  <c:v>0.54610000000000003</c:v>
                </c:pt>
                <c:pt idx="44">
                  <c:v>0.55879999999999996</c:v>
                </c:pt>
                <c:pt idx="45">
                  <c:v>0.57150000000000001</c:v>
                </c:pt>
                <c:pt idx="46">
                  <c:v>0.58419999999999994</c:v>
                </c:pt>
                <c:pt idx="47">
                  <c:v>0.59689999999999999</c:v>
                </c:pt>
                <c:pt idx="48">
                  <c:v>0.60959999999999992</c:v>
                </c:pt>
              </c:numCache>
            </c:numRef>
          </c:xVal>
          <c:yVal>
            <c:numRef>
              <c:f>'Red Bungees'!$AD$4:$AD$52</c:f>
              <c:numCache>
                <c:formatCode>General</c:formatCode>
                <c:ptCount val="49"/>
                <c:pt idx="0">
                  <c:v>0</c:v>
                </c:pt>
                <c:pt idx="1">
                  <c:v>2.6</c:v>
                </c:pt>
                <c:pt idx="2">
                  <c:v>3.8</c:v>
                </c:pt>
                <c:pt idx="3">
                  <c:v>5.2</c:v>
                </c:pt>
                <c:pt idx="4">
                  <c:v>6.2</c:v>
                </c:pt>
                <c:pt idx="5">
                  <c:v>7.2</c:v>
                </c:pt>
                <c:pt idx="6">
                  <c:v>8.1999999999999993</c:v>
                </c:pt>
                <c:pt idx="7">
                  <c:v>9.1999999999999993</c:v>
                </c:pt>
                <c:pt idx="8">
                  <c:v>10</c:v>
                </c:pt>
                <c:pt idx="9">
                  <c:v>10.6</c:v>
                </c:pt>
                <c:pt idx="10">
                  <c:v>11.6</c:v>
                </c:pt>
                <c:pt idx="11">
                  <c:v>12.2</c:v>
                </c:pt>
                <c:pt idx="12">
                  <c:v>12.6</c:v>
                </c:pt>
                <c:pt idx="13">
                  <c:v>13.2</c:v>
                </c:pt>
                <c:pt idx="14">
                  <c:v>14.2</c:v>
                </c:pt>
                <c:pt idx="15">
                  <c:v>14.6</c:v>
                </c:pt>
                <c:pt idx="16">
                  <c:v>15.2</c:v>
                </c:pt>
                <c:pt idx="17">
                  <c:v>15.8</c:v>
                </c:pt>
                <c:pt idx="18">
                  <c:v>16.2</c:v>
                </c:pt>
                <c:pt idx="19">
                  <c:v>16.600000000000001</c:v>
                </c:pt>
                <c:pt idx="20">
                  <c:v>17.2</c:v>
                </c:pt>
                <c:pt idx="21">
                  <c:v>17.8</c:v>
                </c:pt>
                <c:pt idx="22">
                  <c:v>18</c:v>
                </c:pt>
                <c:pt idx="23">
                  <c:v>18.600000000000001</c:v>
                </c:pt>
                <c:pt idx="24">
                  <c:v>19.2</c:v>
                </c:pt>
                <c:pt idx="25">
                  <c:v>19.8</c:v>
                </c:pt>
                <c:pt idx="26">
                  <c:v>20.399999999999999</c:v>
                </c:pt>
                <c:pt idx="27">
                  <c:v>20.8</c:v>
                </c:pt>
                <c:pt idx="28">
                  <c:v>21.4</c:v>
                </c:pt>
                <c:pt idx="29">
                  <c:v>21.8</c:v>
                </c:pt>
                <c:pt idx="30">
                  <c:v>22.4</c:v>
                </c:pt>
                <c:pt idx="31">
                  <c:v>22.8</c:v>
                </c:pt>
                <c:pt idx="32">
                  <c:v>23.2</c:v>
                </c:pt>
                <c:pt idx="33">
                  <c:v>23.8</c:v>
                </c:pt>
                <c:pt idx="34">
                  <c:v>24.4</c:v>
                </c:pt>
                <c:pt idx="35">
                  <c:v>24.8</c:v>
                </c:pt>
                <c:pt idx="36">
                  <c:v>25.2</c:v>
                </c:pt>
                <c:pt idx="37">
                  <c:v>25.6</c:v>
                </c:pt>
                <c:pt idx="38">
                  <c:v>26.2</c:v>
                </c:pt>
                <c:pt idx="39">
                  <c:v>26.6</c:v>
                </c:pt>
                <c:pt idx="40">
                  <c:v>27</c:v>
                </c:pt>
                <c:pt idx="41">
                  <c:v>27.4</c:v>
                </c:pt>
                <c:pt idx="42">
                  <c:v>28.2</c:v>
                </c:pt>
                <c:pt idx="43">
                  <c:v>28.6</c:v>
                </c:pt>
                <c:pt idx="44">
                  <c:v>29.2</c:v>
                </c:pt>
                <c:pt idx="45">
                  <c:v>29.8</c:v>
                </c:pt>
                <c:pt idx="46">
                  <c:v>30.4</c:v>
                </c:pt>
                <c:pt idx="47">
                  <c:v>31</c:v>
                </c:pt>
                <c:pt idx="48">
                  <c:v>31.6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4CB-7B4B-8329-83A1E6451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059455"/>
        <c:axId val="2081956800"/>
      </c:scatterChart>
      <c:valAx>
        <c:axId val="83605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Length</a:t>
                </a:r>
                <a:r>
                  <a:rPr lang="en-US" sz="1200" baseline="0"/>
                  <a:t>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956800"/>
        <c:crosses val="autoZero"/>
        <c:crossBetween val="midCat"/>
      </c:valAx>
      <c:valAx>
        <c:axId val="208195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Force</a:t>
                </a:r>
                <a:r>
                  <a:rPr lang="en-US" sz="1200" baseline="0"/>
                  <a:t> (N)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059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Rubber Tubing Force</a:t>
            </a:r>
            <a:r>
              <a:rPr lang="en-US" baseline="0"/>
              <a:t> vs Extension</a:t>
            </a:r>
            <a:endParaRPr lang="en-US"/>
          </a:p>
        </c:rich>
      </c:tx>
      <c:layout>
        <c:manualLayout>
          <c:xMode val="edge"/>
          <c:yMode val="edge"/>
          <c:x val="0.4009877472632995"/>
          <c:y val="1.8832391713747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6" Extension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'Green Bungees'!$C$4:$C$52</c:f>
              <c:numCache>
                <c:formatCode>General</c:formatCode>
                <c:ptCount val="49"/>
                <c:pt idx="0">
                  <c:v>0</c:v>
                </c:pt>
                <c:pt idx="1">
                  <c:v>6.3499999999999997E-3</c:v>
                </c:pt>
                <c:pt idx="2">
                  <c:v>1.2699999999999999E-2</c:v>
                </c:pt>
                <c:pt idx="3">
                  <c:v>1.9049999999999997E-2</c:v>
                </c:pt>
                <c:pt idx="4">
                  <c:v>2.5399999999999999E-2</c:v>
                </c:pt>
                <c:pt idx="5">
                  <c:v>3.175E-2</c:v>
                </c:pt>
                <c:pt idx="6">
                  <c:v>3.8099999999999995E-2</c:v>
                </c:pt>
                <c:pt idx="7">
                  <c:v>4.4449999999999996E-2</c:v>
                </c:pt>
                <c:pt idx="8">
                  <c:v>5.0799999999999998E-2</c:v>
                </c:pt>
                <c:pt idx="9">
                  <c:v>5.7149999999999999E-2</c:v>
                </c:pt>
                <c:pt idx="10">
                  <c:v>6.3500000000000001E-2</c:v>
                </c:pt>
                <c:pt idx="11">
                  <c:v>6.9849999999999995E-2</c:v>
                </c:pt>
                <c:pt idx="12">
                  <c:v>7.619999999999999E-2</c:v>
                </c:pt>
                <c:pt idx="13">
                  <c:v>8.2549999999999998E-2</c:v>
                </c:pt>
                <c:pt idx="14">
                  <c:v>8.8899999999999993E-2</c:v>
                </c:pt>
                <c:pt idx="15">
                  <c:v>9.5250000000000001E-2</c:v>
                </c:pt>
                <c:pt idx="16">
                  <c:v>0.1016</c:v>
                </c:pt>
                <c:pt idx="17">
                  <c:v>0.10794999999999999</c:v>
                </c:pt>
                <c:pt idx="18">
                  <c:v>0.1143</c:v>
                </c:pt>
                <c:pt idx="19">
                  <c:v>0.12064999999999999</c:v>
                </c:pt>
                <c:pt idx="20">
                  <c:v>0.127</c:v>
                </c:pt>
                <c:pt idx="21">
                  <c:v>0.13335</c:v>
                </c:pt>
                <c:pt idx="22">
                  <c:v>0.13969999999999999</c:v>
                </c:pt>
                <c:pt idx="23">
                  <c:v>0.14604999999999999</c:v>
                </c:pt>
                <c:pt idx="24">
                  <c:v>0.15239999999999998</c:v>
                </c:pt>
                <c:pt idx="25">
                  <c:v>0.15875</c:v>
                </c:pt>
                <c:pt idx="26">
                  <c:v>0.1651</c:v>
                </c:pt>
                <c:pt idx="27">
                  <c:v>0.17144999999999999</c:v>
                </c:pt>
                <c:pt idx="28">
                  <c:v>0.17779999999999999</c:v>
                </c:pt>
                <c:pt idx="29">
                  <c:v>0.18414999999999998</c:v>
                </c:pt>
                <c:pt idx="30">
                  <c:v>0.1905</c:v>
                </c:pt>
                <c:pt idx="31">
                  <c:v>0.19685</c:v>
                </c:pt>
                <c:pt idx="32">
                  <c:v>0.20319999999999999</c:v>
                </c:pt>
                <c:pt idx="33">
                  <c:v>0.20954999999999999</c:v>
                </c:pt>
                <c:pt idx="34">
                  <c:v>0.21589999999999998</c:v>
                </c:pt>
                <c:pt idx="35">
                  <c:v>0.22225</c:v>
                </c:pt>
                <c:pt idx="36">
                  <c:v>0.2286</c:v>
                </c:pt>
                <c:pt idx="37">
                  <c:v>0.23494999999999999</c:v>
                </c:pt>
                <c:pt idx="38">
                  <c:v>0.24129999999999999</c:v>
                </c:pt>
                <c:pt idx="39">
                  <c:v>0.24764999999999998</c:v>
                </c:pt>
                <c:pt idx="40">
                  <c:v>0.254</c:v>
                </c:pt>
                <c:pt idx="41">
                  <c:v>0.26034999999999997</c:v>
                </c:pt>
                <c:pt idx="42">
                  <c:v>0.26669999999999999</c:v>
                </c:pt>
                <c:pt idx="43">
                  <c:v>0.27305000000000001</c:v>
                </c:pt>
                <c:pt idx="44">
                  <c:v>0.27939999999999998</c:v>
                </c:pt>
                <c:pt idx="45">
                  <c:v>0.28575</c:v>
                </c:pt>
                <c:pt idx="46">
                  <c:v>0.29209999999999997</c:v>
                </c:pt>
                <c:pt idx="47">
                  <c:v>0.29844999999999999</c:v>
                </c:pt>
                <c:pt idx="48">
                  <c:v>0.30479999999999996</c:v>
                </c:pt>
              </c:numCache>
            </c:numRef>
          </c:xVal>
          <c:yVal>
            <c:numRef>
              <c:f>'Green Bungees'!$D$4:$D$52</c:f>
              <c:numCache>
                <c:formatCode>General</c:formatCode>
                <c:ptCount val="49"/>
                <c:pt idx="0">
                  <c:v>0</c:v>
                </c:pt>
                <c:pt idx="1">
                  <c:v>2.8</c:v>
                </c:pt>
                <c:pt idx="2">
                  <c:v>4.5999999999999996</c:v>
                </c:pt>
                <c:pt idx="3">
                  <c:v>5.8</c:v>
                </c:pt>
                <c:pt idx="4">
                  <c:v>7.4</c:v>
                </c:pt>
                <c:pt idx="5">
                  <c:v>8.8000000000000007</c:v>
                </c:pt>
                <c:pt idx="6">
                  <c:v>10</c:v>
                </c:pt>
                <c:pt idx="7">
                  <c:v>11.2</c:v>
                </c:pt>
                <c:pt idx="8">
                  <c:v>12.2</c:v>
                </c:pt>
                <c:pt idx="9">
                  <c:v>13.2</c:v>
                </c:pt>
                <c:pt idx="10">
                  <c:v>14.4</c:v>
                </c:pt>
                <c:pt idx="11">
                  <c:v>15.2</c:v>
                </c:pt>
                <c:pt idx="12">
                  <c:v>16</c:v>
                </c:pt>
                <c:pt idx="13">
                  <c:v>16.600000000000001</c:v>
                </c:pt>
                <c:pt idx="14">
                  <c:v>17.399999999999999</c:v>
                </c:pt>
                <c:pt idx="15">
                  <c:v>18.2</c:v>
                </c:pt>
                <c:pt idx="16">
                  <c:v>18.8</c:v>
                </c:pt>
                <c:pt idx="17">
                  <c:v>19.399999999999999</c:v>
                </c:pt>
                <c:pt idx="18">
                  <c:v>19.8</c:v>
                </c:pt>
                <c:pt idx="19">
                  <c:v>20.6</c:v>
                </c:pt>
                <c:pt idx="20">
                  <c:v>21</c:v>
                </c:pt>
                <c:pt idx="21">
                  <c:v>21.6</c:v>
                </c:pt>
                <c:pt idx="22">
                  <c:v>21.8</c:v>
                </c:pt>
                <c:pt idx="23">
                  <c:v>22.6</c:v>
                </c:pt>
                <c:pt idx="24">
                  <c:v>23.4</c:v>
                </c:pt>
                <c:pt idx="25">
                  <c:v>23.6</c:v>
                </c:pt>
                <c:pt idx="26">
                  <c:v>23.8</c:v>
                </c:pt>
                <c:pt idx="27">
                  <c:v>24.8</c:v>
                </c:pt>
                <c:pt idx="28">
                  <c:v>24.8</c:v>
                </c:pt>
                <c:pt idx="29">
                  <c:v>25.4</c:v>
                </c:pt>
                <c:pt idx="30">
                  <c:v>26</c:v>
                </c:pt>
                <c:pt idx="31">
                  <c:v>26.4</c:v>
                </c:pt>
                <c:pt idx="32">
                  <c:v>27</c:v>
                </c:pt>
                <c:pt idx="33">
                  <c:v>27.6</c:v>
                </c:pt>
                <c:pt idx="34">
                  <c:v>28</c:v>
                </c:pt>
                <c:pt idx="35">
                  <c:v>28.2</c:v>
                </c:pt>
                <c:pt idx="36">
                  <c:v>28.8</c:v>
                </c:pt>
                <c:pt idx="37">
                  <c:v>29.4</c:v>
                </c:pt>
                <c:pt idx="38">
                  <c:v>30</c:v>
                </c:pt>
                <c:pt idx="39">
                  <c:v>30.4</c:v>
                </c:pt>
                <c:pt idx="40">
                  <c:v>30.8</c:v>
                </c:pt>
                <c:pt idx="41">
                  <c:v>31.2</c:v>
                </c:pt>
                <c:pt idx="42">
                  <c:v>31.4</c:v>
                </c:pt>
                <c:pt idx="43">
                  <c:v>32</c:v>
                </c:pt>
                <c:pt idx="44">
                  <c:v>32.4</c:v>
                </c:pt>
                <c:pt idx="45">
                  <c:v>33</c:v>
                </c:pt>
                <c:pt idx="46">
                  <c:v>33.4</c:v>
                </c:pt>
                <c:pt idx="47">
                  <c:v>33.799999999999997</c:v>
                </c:pt>
                <c:pt idx="48">
                  <c:v>33.6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BF-5F4A-B613-EDC9394A043C}"/>
            </c:ext>
          </c:extLst>
        </c:ser>
        <c:ser>
          <c:idx val="1"/>
          <c:order val="1"/>
          <c:tx>
            <c:v>6" Extension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'Green Bungees'!$H$4:$H$52</c:f>
              <c:numCache>
                <c:formatCode>General</c:formatCode>
                <c:ptCount val="49"/>
                <c:pt idx="0">
                  <c:v>0</c:v>
                </c:pt>
                <c:pt idx="1">
                  <c:v>6.3499999999999997E-3</c:v>
                </c:pt>
                <c:pt idx="2">
                  <c:v>1.2699999999999999E-2</c:v>
                </c:pt>
                <c:pt idx="3">
                  <c:v>1.9049999999999997E-2</c:v>
                </c:pt>
                <c:pt idx="4">
                  <c:v>2.5399999999999999E-2</c:v>
                </c:pt>
                <c:pt idx="5">
                  <c:v>3.175E-2</c:v>
                </c:pt>
                <c:pt idx="6">
                  <c:v>3.8099999999999995E-2</c:v>
                </c:pt>
                <c:pt idx="7">
                  <c:v>4.4449999999999996E-2</c:v>
                </c:pt>
                <c:pt idx="8">
                  <c:v>5.0799999999999998E-2</c:v>
                </c:pt>
                <c:pt idx="9">
                  <c:v>5.7149999999999999E-2</c:v>
                </c:pt>
                <c:pt idx="10">
                  <c:v>6.3500000000000001E-2</c:v>
                </c:pt>
                <c:pt idx="11">
                  <c:v>6.9849999999999995E-2</c:v>
                </c:pt>
                <c:pt idx="12">
                  <c:v>7.619999999999999E-2</c:v>
                </c:pt>
                <c:pt idx="13">
                  <c:v>8.2549999999999998E-2</c:v>
                </c:pt>
                <c:pt idx="14">
                  <c:v>8.8899999999999993E-2</c:v>
                </c:pt>
                <c:pt idx="15">
                  <c:v>9.5250000000000001E-2</c:v>
                </c:pt>
                <c:pt idx="16">
                  <c:v>0.1016</c:v>
                </c:pt>
                <c:pt idx="17">
                  <c:v>0.10794999999999999</c:v>
                </c:pt>
                <c:pt idx="18">
                  <c:v>0.1143</c:v>
                </c:pt>
                <c:pt idx="19">
                  <c:v>0.12064999999999999</c:v>
                </c:pt>
                <c:pt idx="20">
                  <c:v>0.127</c:v>
                </c:pt>
                <c:pt idx="21">
                  <c:v>0.13335</c:v>
                </c:pt>
                <c:pt idx="22">
                  <c:v>0.13969999999999999</c:v>
                </c:pt>
                <c:pt idx="23">
                  <c:v>0.14604999999999999</c:v>
                </c:pt>
                <c:pt idx="24">
                  <c:v>0.15239999999999998</c:v>
                </c:pt>
                <c:pt idx="25">
                  <c:v>0.15875</c:v>
                </c:pt>
                <c:pt idx="26">
                  <c:v>0.1651</c:v>
                </c:pt>
                <c:pt idx="27">
                  <c:v>0.17144999999999999</c:v>
                </c:pt>
                <c:pt idx="28">
                  <c:v>0.17779999999999999</c:v>
                </c:pt>
                <c:pt idx="29">
                  <c:v>0.18414999999999998</c:v>
                </c:pt>
                <c:pt idx="30">
                  <c:v>0.1905</c:v>
                </c:pt>
                <c:pt idx="31">
                  <c:v>0.19685</c:v>
                </c:pt>
                <c:pt idx="32">
                  <c:v>0.20319999999999999</c:v>
                </c:pt>
                <c:pt idx="33">
                  <c:v>0.20954999999999999</c:v>
                </c:pt>
                <c:pt idx="34">
                  <c:v>0.21589999999999998</c:v>
                </c:pt>
                <c:pt idx="35">
                  <c:v>0.22225</c:v>
                </c:pt>
                <c:pt idx="36">
                  <c:v>0.2286</c:v>
                </c:pt>
                <c:pt idx="37">
                  <c:v>0.23494999999999999</c:v>
                </c:pt>
                <c:pt idx="38">
                  <c:v>0.24129999999999999</c:v>
                </c:pt>
                <c:pt idx="39">
                  <c:v>0.24764999999999998</c:v>
                </c:pt>
                <c:pt idx="40">
                  <c:v>0.254</c:v>
                </c:pt>
                <c:pt idx="41">
                  <c:v>0.26034999999999997</c:v>
                </c:pt>
                <c:pt idx="42">
                  <c:v>0.26669999999999999</c:v>
                </c:pt>
                <c:pt idx="43">
                  <c:v>0.27305000000000001</c:v>
                </c:pt>
                <c:pt idx="44">
                  <c:v>0.27939999999999998</c:v>
                </c:pt>
                <c:pt idx="45">
                  <c:v>0.28575</c:v>
                </c:pt>
                <c:pt idx="46">
                  <c:v>0.29209999999999997</c:v>
                </c:pt>
                <c:pt idx="47">
                  <c:v>0.29844999999999999</c:v>
                </c:pt>
                <c:pt idx="48">
                  <c:v>0.30479999999999996</c:v>
                </c:pt>
              </c:numCache>
            </c:numRef>
          </c:xVal>
          <c:yVal>
            <c:numRef>
              <c:f>'Green Bungees'!$I$4:$I$52</c:f>
              <c:numCache>
                <c:formatCode>General</c:formatCode>
                <c:ptCount val="49"/>
                <c:pt idx="0">
                  <c:v>0</c:v>
                </c:pt>
                <c:pt idx="1">
                  <c:v>2.4</c:v>
                </c:pt>
                <c:pt idx="2">
                  <c:v>3.6</c:v>
                </c:pt>
                <c:pt idx="3">
                  <c:v>5.2</c:v>
                </c:pt>
                <c:pt idx="4">
                  <c:v>6.4</c:v>
                </c:pt>
                <c:pt idx="5">
                  <c:v>7.8</c:v>
                </c:pt>
                <c:pt idx="6">
                  <c:v>8.8000000000000007</c:v>
                </c:pt>
                <c:pt idx="7">
                  <c:v>10</c:v>
                </c:pt>
                <c:pt idx="8">
                  <c:v>10.8</c:v>
                </c:pt>
                <c:pt idx="9">
                  <c:v>11.8</c:v>
                </c:pt>
                <c:pt idx="10">
                  <c:v>12.2</c:v>
                </c:pt>
                <c:pt idx="11">
                  <c:v>13.6</c:v>
                </c:pt>
                <c:pt idx="12">
                  <c:v>13.8</c:v>
                </c:pt>
                <c:pt idx="13">
                  <c:v>15</c:v>
                </c:pt>
                <c:pt idx="14">
                  <c:v>15.6</c:v>
                </c:pt>
                <c:pt idx="15">
                  <c:v>16.399999999999999</c:v>
                </c:pt>
                <c:pt idx="16">
                  <c:v>17.2</c:v>
                </c:pt>
                <c:pt idx="17">
                  <c:v>17.399999999999999</c:v>
                </c:pt>
                <c:pt idx="18">
                  <c:v>18</c:v>
                </c:pt>
                <c:pt idx="19">
                  <c:v>18.8</c:v>
                </c:pt>
                <c:pt idx="20">
                  <c:v>19.399999999999999</c:v>
                </c:pt>
                <c:pt idx="21">
                  <c:v>20</c:v>
                </c:pt>
                <c:pt idx="22">
                  <c:v>20.6</c:v>
                </c:pt>
                <c:pt idx="23">
                  <c:v>21</c:v>
                </c:pt>
                <c:pt idx="24">
                  <c:v>21.2</c:v>
                </c:pt>
                <c:pt idx="25">
                  <c:v>21.6</c:v>
                </c:pt>
                <c:pt idx="26">
                  <c:v>22</c:v>
                </c:pt>
                <c:pt idx="27">
                  <c:v>22.6</c:v>
                </c:pt>
                <c:pt idx="28">
                  <c:v>23.2</c:v>
                </c:pt>
                <c:pt idx="29">
                  <c:v>23.6</c:v>
                </c:pt>
                <c:pt idx="30">
                  <c:v>24.2</c:v>
                </c:pt>
                <c:pt idx="31">
                  <c:v>24.8</c:v>
                </c:pt>
                <c:pt idx="32">
                  <c:v>25</c:v>
                </c:pt>
                <c:pt idx="33">
                  <c:v>25.4</c:v>
                </c:pt>
                <c:pt idx="34">
                  <c:v>25.8</c:v>
                </c:pt>
                <c:pt idx="35">
                  <c:v>26.4</c:v>
                </c:pt>
                <c:pt idx="36">
                  <c:v>27</c:v>
                </c:pt>
                <c:pt idx="37">
                  <c:v>27.4</c:v>
                </c:pt>
                <c:pt idx="38">
                  <c:v>27.8</c:v>
                </c:pt>
                <c:pt idx="39">
                  <c:v>28.4</c:v>
                </c:pt>
                <c:pt idx="40">
                  <c:v>29</c:v>
                </c:pt>
                <c:pt idx="41">
                  <c:v>29.4</c:v>
                </c:pt>
                <c:pt idx="42">
                  <c:v>30</c:v>
                </c:pt>
                <c:pt idx="43">
                  <c:v>30.6</c:v>
                </c:pt>
                <c:pt idx="44">
                  <c:v>30.8</c:v>
                </c:pt>
                <c:pt idx="45">
                  <c:v>31.4</c:v>
                </c:pt>
                <c:pt idx="46">
                  <c:v>32.200000000000003</c:v>
                </c:pt>
                <c:pt idx="47">
                  <c:v>32.6</c:v>
                </c:pt>
                <c:pt idx="48">
                  <c:v>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BF-5F4A-B613-EDC9394A043C}"/>
            </c:ext>
          </c:extLst>
        </c:ser>
        <c:ser>
          <c:idx val="2"/>
          <c:order val="2"/>
          <c:tx>
            <c:v>6" Extension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'Green Bungees'!$M$4:$M$52</c:f>
              <c:numCache>
                <c:formatCode>General</c:formatCode>
                <c:ptCount val="49"/>
                <c:pt idx="0">
                  <c:v>0</c:v>
                </c:pt>
                <c:pt idx="1">
                  <c:v>6.3499999999999997E-3</c:v>
                </c:pt>
                <c:pt idx="2">
                  <c:v>1.2699999999999999E-2</c:v>
                </c:pt>
                <c:pt idx="3">
                  <c:v>1.9049999999999997E-2</c:v>
                </c:pt>
                <c:pt idx="4">
                  <c:v>2.5399999999999999E-2</c:v>
                </c:pt>
                <c:pt idx="5">
                  <c:v>3.175E-2</c:v>
                </c:pt>
                <c:pt idx="6">
                  <c:v>3.8099999999999995E-2</c:v>
                </c:pt>
                <c:pt idx="7">
                  <c:v>4.4449999999999996E-2</c:v>
                </c:pt>
                <c:pt idx="8">
                  <c:v>5.0799999999999998E-2</c:v>
                </c:pt>
                <c:pt idx="9">
                  <c:v>5.7149999999999999E-2</c:v>
                </c:pt>
                <c:pt idx="10">
                  <c:v>6.3500000000000001E-2</c:v>
                </c:pt>
                <c:pt idx="11">
                  <c:v>6.9849999999999995E-2</c:v>
                </c:pt>
                <c:pt idx="12">
                  <c:v>7.619999999999999E-2</c:v>
                </c:pt>
                <c:pt idx="13">
                  <c:v>8.2549999999999998E-2</c:v>
                </c:pt>
                <c:pt idx="14">
                  <c:v>8.8899999999999993E-2</c:v>
                </c:pt>
                <c:pt idx="15">
                  <c:v>9.5250000000000001E-2</c:v>
                </c:pt>
                <c:pt idx="16">
                  <c:v>0.1016</c:v>
                </c:pt>
                <c:pt idx="17">
                  <c:v>0.10794999999999999</c:v>
                </c:pt>
                <c:pt idx="18">
                  <c:v>0.1143</c:v>
                </c:pt>
                <c:pt idx="19">
                  <c:v>0.12064999999999999</c:v>
                </c:pt>
                <c:pt idx="20">
                  <c:v>0.127</c:v>
                </c:pt>
                <c:pt idx="21">
                  <c:v>0.13335</c:v>
                </c:pt>
                <c:pt idx="22">
                  <c:v>0.13969999999999999</c:v>
                </c:pt>
                <c:pt idx="23">
                  <c:v>0.14604999999999999</c:v>
                </c:pt>
                <c:pt idx="24">
                  <c:v>0.15239999999999998</c:v>
                </c:pt>
                <c:pt idx="25">
                  <c:v>0.15875</c:v>
                </c:pt>
                <c:pt idx="26">
                  <c:v>0.1651</c:v>
                </c:pt>
                <c:pt idx="27">
                  <c:v>0.17144999999999999</c:v>
                </c:pt>
                <c:pt idx="28">
                  <c:v>0.17779999999999999</c:v>
                </c:pt>
                <c:pt idx="29">
                  <c:v>0.18414999999999998</c:v>
                </c:pt>
                <c:pt idx="30">
                  <c:v>0.1905</c:v>
                </c:pt>
                <c:pt idx="31">
                  <c:v>0.19685</c:v>
                </c:pt>
                <c:pt idx="32">
                  <c:v>0.20319999999999999</c:v>
                </c:pt>
                <c:pt idx="33">
                  <c:v>0.20954999999999999</c:v>
                </c:pt>
                <c:pt idx="34">
                  <c:v>0.21589999999999998</c:v>
                </c:pt>
                <c:pt idx="35">
                  <c:v>0.22225</c:v>
                </c:pt>
                <c:pt idx="36">
                  <c:v>0.2286</c:v>
                </c:pt>
                <c:pt idx="37">
                  <c:v>0.23494999999999999</c:v>
                </c:pt>
                <c:pt idx="38">
                  <c:v>0.24129999999999999</c:v>
                </c:pt>
                <c:pt idx="39">
                  <c:v>0.24764999999999998</c:v>
                </c:pt>
                <c:pt idx="40">
                  <c:v>0.254</c:v>
                </c:pt>
                <c:pt idx="41">
                  <c:v>0.26034999999999997</c:v>
                </c:pt>
                <c:pt idx="42">
                  <c:v>0.26669999999999999</c:v>
                </c:pt>
                <c:pt idx="43">
                  <c:v>0.27305000000000001</c:v>
                </c:pt>
                <c:pt idx="44">
                  <c:v>0.27939999999999998</c:v>
                </c:pt>
                <c:pt idx="45">
                  <c:v>0.28575</c:v>
                </c:pt>
                <c:pt idx="46">
                  <c:v>0.29209999999999997</c:v>
                </c:pt>
                <c:pt idx="47">
                  <c:v>0.29844999999999999</c:v>
                </c:pt>
                <c:pt idx="48">
                  <c:v>0.30479999999999996</c:v>
                </c:pt>
              </c:numCache>
            </c:numRef>
          </c:xVal>
          <c:yVal>
            <c:numRef>
              <c:f>'Green Bungees'!$N$4:$N$52</c:f>
              <c:numCache>
                <c:formatCode>General</c:formatCode>
                <c:ptCount val="49"/>
                <c:pt idx="0">
                  <c:v>0</c:v>
                </c:pt>
                <c:pt idx="1">
                  <c:v>2.6</c:v>
                </c:pt>
                <c:pt idx="2">
                  <c:v>3.8</c:v>
                </c:pt>
                <c:pt idx="3">
                  <c:v>5.4</c:v>
                </c:pt>
                <c:pt idx="4">
                  <c:v>7</c:v>
                </c:pt>
                <c:pt idx="5">
                  <c:v>8.4</c:v>
                </c:pt>
                <c:pt idx="6">
                  <c:v>9.4</c:v>
                </c:pt>
                <c:pt idx="7">
                  <c:v>10.6</c:v>
                </c:pt>
                <c:pt idx="8">
                  <c:v>11.4</c:v>
                </c:pt>
                <c:pt idx="9">
                  <c:v>12.4</c:v>
                </c:pt>
                <c:pt idx="10">
                  <c:v>13</c:v>
                </c:pt>
                <c:pt idx="11">
                  <c:v>13.8</c:v>
                </c:pt>
                <c:pt idx="12">
                  <c:v>14.4</c:v>
                </c:pt>
                <c:pt idx="13">
                  <c:v>15.4</c:v>
                </c:pt>
                <c:pt idx="14">
                  <c:v>16</c:v>
                </c:pt>
                <c:pt idx="15">
                  <c:v>17</c:v>
                </c:pt>
                <c:pt idx="16">
                  <c:v>17.600000000000001</c:v>
                </c:pt>
                <c:pt idx="17">
                  <c:v>17.8</c:v>
                </c:pt>
                <c:pt idx="18">
                  <c:v>18.600000000000001</c:v>
                </c:pt>
                <c:pt idx="19">
                  <c:v>19.2</c:v>
                </c:pt>
                <c:pt idx="20">
                  <c:v>19.600000000000001</c:v>
                </c:pt>
                <c:pt idx="21">
                  <c:v>20.2</c:v>
                </c:pt>
                <c:pt idx="22">
                  <c:v>21</c:v>
                </c:pt>
                <c:pt idx="23">
                  <c:v>21.4</c:v>
                </c:pt>
                <c:pt idx="24">
                  <c:v>21.6</c:v>
                </c:pt>
                <c:pt idx="25">
                  <c:v>22</c:v>
                </c:pt>
                <c:pt idx="26">
                  <c:v>22.8</c:v>
                </c:pt>
                <c:pt idx="27">
                  <c:v>23</c:v>
                </c:pt>
                <c:pt idx="28">
                  <c:v>23.6</c:v>
                </c:pt>
                <c:pt idx="29">
                  <c:v>24</c:v>
                </c:pt>
                <c:pt idx="30">
                  <c:v>24.6</c:v>
                </c:pt>
                <c:pt idx="31">
                  <c:v>25</c:v>
                </c:pt>
                <c:pt idx="32">
                  <c:v>25.6</c:v>
                </c:pt>
                <c:pt idx="33">
                  <c:v>26</c:v>
                </c:pt>
                <c:pt idx="34">
                  <c:v>27.2</c:v>
                </c:pt>
                <c:pt idx="35">
                  <c:v>28.2</c:v>
                </c:pt>
                <c:pt idx="36">
                  <c:v>28.8</c:v>
                </c:pt>
                <c:pt idx="37">
                  <c:v>29.2</c:v>
                </c:pt>
                <c:pt idx="38">
                  <c:v>29.6</c:v>
                </c:pt>
                <c:pt idx="39">
                  <c:v>30</c:v>
                </c:pt>
                <c:pt idx="40">
                  <c:v>30.4</c:v>
                </c:pt>
                <c:pt idx="41">
                  <c:v>30.6</c:v>
                </c:pt>
                <c:pt idx="42">
                  <c:v>31</c:v>
                </c:pt>
                <c:pt idx="43">
                  <c:v>31.4</c:v>
                </c:pt>
                <c:pt idx="44">
                  <c:v>32.200000000000003</c:v>
                </c:pt>
                <c:pt idx="45">
                  <c:v>32.799999999999997</c:v>
                </c:pt>
                <c:pt idx="46">
                  <c:v>33</c:v>
                </c:pt>
                <c:pt idx="47">
                  <c:v>33.6</c:v>
                </c:pt>
                <c:pt idx="48">
                  <c:v>33.799999999999997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BF-5F4A-B613-EDC9394A043C}"/>
            </c:ext>
          </c:extLst>
        </c:ser>
        <c:ser>
          <c:idx val="3"/>
          <c:order val="3"/>
          <c:tx>
            <c:v>12" Extension 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'Green Bungees'!$S$4:$S$52</c:f>
              <c:numCache>
                <c:formatCode>General</c:formatCode>
                <c:ptCount val="49"/>
                <c:pt idx="0">
                  <c:v>0</c:v>
                </c:pt>
                <c:pt idx="1">
                  <c:v>1.2699999999999999E-2</c:v>
                </c:pt>
                <c:pt idx="2">
                  <c:v>2.5399999999999999E-2</c:v>
                </c:pt>
                <c:pt idx="3">
                  <c:v>3.8099999999999995E-2</c:v>
                </c:pt>
                <c:pt idx="4">
                  <c:v>5.0799999999999998E-2</c:v>
                </c:pt>
                <c:pt idx="5">
                  <c:v>6.3500000000000001E-2</c:v>
                </c:pt>
                <c:pt idx="6">
                  <c:v>7.619999999999999E-2</c:v>
                </c:pt>
                <c:pt idx="7">
                  <c:v>8.8899999999999993E-2</c:v>
                </c:pt>
                <c:pt idx="8">
                  <c:v>0.1016</c:v>
                </c:pt>
                <c:pt idx="9">
                  <c:v>0.1143</c:v>
                </c:pt>
                <c:pt idx="10">
                  <c:v>0.127</c:v>
                </c:pt>
                <c:pt idx="11">
                  <c:v>0.13969999999999999</c:v>
                </c:pt>
                <c:pt idx="12">
                  <c:v>0.15239999999999998</c:v>
                </c:pt>
                <c:pt idx="13">
                  <c:v>0.1651</c:v>
                </c:pt>
                <c:pt idx="14">
                  <c:v>0.17779999999999999</c:v>
                </c:pt>
                <c:pt idx="15">
                  <c:v>0.1905</c:v>
                </c:pt>
                <c:pt idx="16">
                  <c:v>0.20319999999999999</c:v>
                </c:pt>
                <c:pt idx="17">
                  <c:v>0.21589999999999998</c:v>
                </c:pt>
                <c:pt idx="18">
                  <c:v>0.2286</c:v>
                </c:pt>
                <c:pt idx="19">
                  <c:v>0.24129999999999999</c:v>
                </c:pt>
                <c:pt idx="20">
                  <c:v>0.254</c:v>
                </c:pt>
                <c:pt idx="21">
                  <c:v>0.26669999999999999</c:v>
                </c:pt>
                <c:pt idx="22">
                  <c:v>0.27939999999999998</c:v>
                </c:pt>
                <c:pt idx="23">
                  <c:v>0.29209999999999997</c:v>
                </c:pt>
                <c:pt idx="24">
                  <c:v>0.30479999999999996</c:v>
                </c:pt>
                <c:pt idx="25">
                  <c:v>0.3175</c:v>
                </c:pt>
                <c:pt idx="26">
                  <c:v>0.33019999999999999</c:v>
                </c:pt>
                <c:pt idx="27">
                  <c:v>0.34289999999999998</c:v>
                </c:pt>
                <c:pt idx="28">
                  <c:v>0.35559999999999997</c:v>
                </c:pt>
                <c:pt idx="29">
                  <c:v>0.36829999999999996</c:v>
                </c:pt>
                <c:pt idx="30">
                  <c:v>0.38100000000000001</c:v>
                </c:pt>
                <c:pt idx="31">
                  <c:v>0.39369999999999999</c:v>
                </c:pt>
                <c:pt idx="32">
                  <c:v>0.40639999999999998</c:v>
                </c:pt>
                <c:pt idx="33">
                  <c:v>0.41909999999999997</c:v>
                </c:pt>
                <c:pt idx="34">
                  <c:v>0.43179999999999996</c:v>
                </c:pt>
                <c:pt idx="35">
                  <c:v>0.44450000000000001</c:v>
                </c:pt>
                <c:pt idx="36">
                  <c:v>0.4572</c:v>
                </c:pt>
                <c:pt idx="37">
                  <c:v>0.46989999999999998</c:v>
                </c:pt>
                <c:pt idx="38">
                  <c:v>0.48259999999999997</c:v>
                </c:pt>
                <c:pt idx="39">
                  <c:v>0.49529999999999996</c:v>
                </c:pt>
                <c:pt idx="40">
                  <c:v>0.50800000000000001</c:v>
                </c:pt>
                <c:pt idx="41">
                  <c:v>0.52069999999999994</c:v>
                </c:pt>
                <c:pt idx="42">
                  <c:v>0.53339999999999999</c:v>
                </c:pt>
                <c:pt idx="43">
                  <c:v>0.54610000000000003</c:v>
                </c:pt>
                <c:pt idx="44">
                  <c:v>0.55879999999999996</c:v>
                </c:pt>
                <c:pt idx="45">
                  <c:v>0.57150000000000001</c:v>
                </c:pt>
                <c:pt idx="46">
                  <c:v>0.58419999999999994</c:v>
                </c:pt>
                <c:pt idx="47">
                  <c:v>0.59689999999999999</c:v>
                </c:pt>
                <c:pt idx="48">
                  <c:v>0.60959999999999992</c:v>
                </c:pt>
              </c:numCache>
            </c:numRef>
          </c:xVal>
          <c:yVal>
            <c:numRef>
              <c:f>'Green Bungees'!$T$4:$T$52</c:f>
              <c:numCache>
                <c:formatCode>General</c:formatCode>
                <c:ptCount val="49"/>
                <c:pt idx="0">
                  <c:v>0</c:v>
                </c:pt>
                <c:pt idx="1">
                  <c:v>2.6</c:v>
                </c:pt>
                <c:pt idx="2">
                  <c:v>4.8</c:v>
                </c:pt>
                <c:pt idx="3">
                  <c:v>6.8</c:v>
                </c:pt>
                <c:pt idx="4">
                  <c:v>9</c:v>
                </c:pt>
                <c:pt idx="5">
                  <c:v>10</c:v>
                </c:pt>
                <c:pt idx="6">
                  <c:v>11.4</c:v>
                </c:pt>
                <c:pt idx="7">
                  <c:v>12.6</c:v>
                </c:pt>
                <c:pt idx="8">
                  <c:v>13.6</c:v>
                </c:pt>
                <c:pt idx="9">
                  <c:v>14.8</c:v>
                </c:pt>
                <c:pt idx="10">
                  <c:v>15.8</c:v>
                </c:pt>
                <c:pt idx="11">
                  <c:v>16.600000000000001</c:v>
                </c:pt>
                <c:pt idx="12">
                  <c:v>17.399999999999999</c:v>
                </c:pt>
                <c:pt idx="13">
                  <c:v>18.2</c:v>
                </c:pt>
                <c:pt idx="14">
                  <c:v>19</c:v>
                </c:pt>
                <c:pt idx="15">
                  <c:v>19.2</c:v>
                </c:pt>
                <c:pt idx="16">
                  <c:v>20.2</c:v>
                </c:pt>
                <c:pt idx="17">
                  <c:v>21</c:v>
                </c:pt>
                <c:pt idx="18">
                  <c:v>21.6</c:v>
                </c:pt>
                <c:pt idx="19">
                  <c:v>22.2</c:v>
                </c:pt>
                <c:pt idx="20">
                  <c:v>22.6</c:v>
                </c:pt>
                <c:pt idx="21">
                  <c:v>23.2</c:v>
                </c:pt>
                <c:pt idx="22">
                  <c:v>24</c:v>
                </c:pt>
                <c:pt idx="23">
                  <c:v>24.4</c:v>
                </c:pt>
                <c:pt idx="24">
                  <c:v>24.6</c:v>
                </c:pt>
                <c:pt idx="25">
                  <c:v>25</c:v>
                </c:pt>
                <c:pt idx="26">
                  <c:v>25.8</c:v>
                </c:pt>
                <c:pt idx="27">
                  <c:v>26.2</c:v>
                </c:pt>
                <c:pt idx="28">
                  <c:v>26.8</c:v>
                </c:pt>
                <c:pt idx="29">
                  <c:v>27.4</c:v>
                </c:pt>
                <c:pt idx="30">
                  <c:v>28</c:v>
                </c:pt>
                <c:pt idx="31">
                  <c:v>28.4</c:v>
                </c:pt>
                <c:pt idx="32">
                  <c:v>29</c:v>
                </c:pt>
                <c:pt idx="33">
                  <c:v>29.2</c:v>
                </c:pt>
                <c:pt idx="34">
                  <c:v>30</c:v>
                </c:pt>
                <c:pt idx="35">
                  <c:v>30.4</c:v>
                </c:pt>
                <c:pt idx="36">
                  <c:v>31</c:v>
                </c:pt>
                <c:pt idx="37">
                  <c:v>31.2</c:v>
                </c:pt>
                <c:pt idx="38">
                  <c:v>31.6</c:v>
                </c:pt>
                <c:pt idx="39">
                  <c:v>32.200000000000003</c:v>
                </c:pt>
                <c:pt idx="40">
                  <c:v>32.6</c:v>
                </c:pt>
                <c:pt idx="41">
                  <c:v>33.200000000000003</c:v>
                </c:pt>
                <c:pt idx="42">
                  <c:v>33.6</c:v>
                </c:pt>
                <c:pt idx="43">
                  <c:v>34.200000000000003</c:v>
                </c:pt>
                <c:pt idx="44">
                  <c:v>34.4</c:v>
                </c:pt>
                <c:pt idx="45">
                  <c:v>35</c:v>
                </c:pt>
                <c:pt idx="46">
                  <c:v>35.4</c:v>
                </c:pt>
                <c:pt idx="47">
                  <c:v>35.6</c:v>
                </c:pt>
                <c:pt idx="48">
                  <c:v>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1BF-5F4A-B613-EDC9394A043C}"/>
            </c:ext>
          </c:extLst>
        </c:ser>
        <c:ser>
          <c:idx val="4"/>
          <c:order val="4"/>
          <c:tx>
            <c:v>12" Extension 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'Green Bungees'!$X$4:$X$52</c:f>
              <c:numCache>
                <c:formatCode>General</c:formatCode>
                <c:ptCount val="49"/>
                <c:pt idx="0">
                  <c:v>0</c:v>
                </c:pt>
                <c:pt idx="1">
                  <c:v>1.2699999999999999E-2</c:v>
                </c:pt>
                <c:pt idx="2">
                  <c:v>2.5399999999999999E-2</c:v>
                </c:pt>
                <c:pt idx="3">
                  <c:v>3.8099999999999995E-2</c:v>
                </c:pt>
                <c:pt idx="4">
                  <c:v>5.0799999999999998E-2</c:v>
                </c:pt>
                <c:pt idx="5">
                  <c:v>6.3500000000000001E-2</c:v>
                </c:pt>
                <c:pt idx="6">
                  <c:v>7.619999999999999E-2</c:v>
                </c:pt>
                <c:pt idx="7">
                  <c:v>8.8899999999999993E-2</c:v>
                </c:pt>
                <c:pt idx="8">
                  <c:v>0.1016</c:v>
                </c:pt>
                <c:pt idx="9">
                  <c:v>0.1143</c:v>
                </c:pt>
                <c:pt idx="10">
                  <c:v>0.127</c:v>
                </c:pt>
                <c:pt idx="11">
                  <c:v>0.13969999999999999</c:v>
                </c:pt>
                <c:pt idx="12">
                  <c:v>0.15239999999999998</c:v>
                </c:pt>
                <c:pt idx="13">
                  <c:v>0.1651</c:v>
                </c:pt>
                <c:pt idx="14">
                  <c:v>0.17779999999999999</c:v>
                </c:pt>
                <c:pt idx="15">
                  <c:v>0.1905</c:v>
                </c:pt>
                <c:pt idx="16">
                  <c:v>0.20319999999999999</c:v>
                </c:pt>
                <c:pt idx="17">
                  <c:v>0.21589999999999998</c:v>
                </c:pt>
                <c:pt idx="18">
                  <c:v>0.2286</c:v>
                </c:pt>
                <c:pt idx="19">
                  <c:v>0.24129999999999999</c:v>
                </c:pt>
                <c:pt idx="20">
                  <c:v>0.254</c:v>
                </c:pt>
                <c:pt idx="21">
                  <c:v>0.26669999999999999</c:v>
                </c:pt>
                <c:pt idx="22">
                  <c:v>0.27939999999999998</c:v>
                </c:pt>
                <c:pt idx="23">
                  <c:v>0.29209999999999997</c:v>
                </c:pt>
                <c:pt idx="24">
                  <c:v>0.30479999999999996</c:v>
                </c:pt>
                <c:pt idx="25">
                  <c:v>0.3175</c:v>
                </c:pt>
                <c:pt idx="26">
                  <c:v>0.33019999999999999</c:v>
                </c:pt>
                <c:pt idx="27">
                  <c:v>0.34289999999999998</c:v>
                </c:pt>
                <c:pt idx="28">
                  <c:v>0.35559999999999997</c:v>
                </c:pt>
                <c:pt idx="29">
                  <c:v>0.36829999999999996</c:v>
                </c:pt>
                <c:pt idx="30">
                  <c:v>0.38100000000000001</c:v>
                </c:pt>
                <c:pt idx="31">
                  <c:v>0.39369999999999999</c:v>
                </c:pt>
                <c:pt idx="32">
                  <c:v>0.40639999999999998</c:v>
                </c:pt>
                <c:pt idx="33">
                  <c:v>0.41909999999999997</c:v>
                </c:pt>
                <c:pt idx="34">
                  <c:v>0.43179999999999996</c:v>
                </c:pt>
                <c:pt idx="35">
                  <c:v>0.44450000000000001</c:v>
                </c:pt>
                <c:pt idx="36">
                  <c:v>0.4572</c:v>
                </c:pt>
                <c:pt idx="37">
                  <c:v>0.46989999999999998</c:v>
                </c:pt>
                <c:pt idx="38">
                  <c:v>0.48259999999999997</c:v>
                </c:pt>
                <c:pt idx="39">
                  <c:v>0.49529999999999996</c:v>
                </c:pt>
                <c:pt idx="40">
                  <c:v>0.50800000000000001</c:v>
                </c:pt>
                <c:pt idx="41">
                  <c:v>0.52069999999999994</c:v>
                </c:pt>
                <c:pt idx="42">
                  <c:v>0.53339999999999999</c:v>
                </c:pt>
                <c:pt idx="43">
                  <c:v>0.54610000000000003</c:v>
                </c:pt>
                <c:pt idx="44">
                  <c:v>0.55879999999999996</c:v>
                </c:pt>
                <c:pt idx="45">
                  <c:v>0.57150000000000001</c:v>
                </c:pt>
                <c:pt idx="46">
                  <c:v>0.58419999999999994</c:v>
                </c:pt>
                <c:pt idx="47">
                  <c:v>0.59689999999999999</c:v>
                </c:pt>
                <c:pt idx="48">
                  <c:v>0.60959999999999992</c:v>
                </c:pt>
              </c:numCache>
            </c:numRef>
          </c:xVal>
          <c:yVal>
            <c:numRef>
              <c:f>'Green Bungees'!$Y$4:$Y$52</c:f>
              <c:numCache>
                <c:formatCode>General</c:formatCode>
                <c:ptCount val="49"/>
                <c:pt idx="0">
                  <c:v>0</c:v>
                </c:pt>
                <c:pt idx="1">
                  <c:v>1.8</c:v>
                </c:pt>
                <c:pt idx="2">
                  <c:v>3.6</c:v>
                </c:pt>
                <c:pt idx="3">
                  <c:v>5.2</c:v>
                </c:pt>
                <c:pt idx="4">
                  <c:v>6.4</c:v>
                </c:pt>
                <c:pt idx="5">
                  <c:v>7.8</c:v>
                </c:pt>
                <c:pt idx="6">
                  <c:v>9</c:v>
                </c:pt>
                <c:pt idx="7">
                  <c:v>10.4</c:v>
                </c:pt>
                <c:pt idx="8">
                  <c:v>11.2</c:v>
                </c:pt>
                <c:pt idx="9">
                  <c:v>12</c:v>
                </c:pt>
                <c:pt idx="10">
                  <c:v>13.2</c:v>
                </c:pt>
                <c:pt idx="11">
                  <c:v>13.8</c:v>
                </c:pt>
                <c:pt idx="12">
                  <c:v>14.8</c:v>
                </c:pt>
                <c:pt idx="13">
                  <c:v>15.4</c:v>
                </c:pt>
                <c:pt idx="14">
                  <c:v>15.6</c:v>
                </c:pt>
                <c:pt idx="15">
                  <c:v>16.8</c:v>
                </c:pt>
                <c:pt idx="16">
                  <c:v>17.600000000000001</c:v>
                </c:pt>
                <c:pt idx="17">
                  <c:v>17.8</c:v>
                </c:pt>
                <c:pt idx="18">
                  <c:v>18.399999999999999</c:v>
                </c:pt>
                <c:pt idx="19">
                  <c:v>19.2</c:v>
                </c:pt>
                <c:pt idx="20">
                  <c:v>19.600000000000001</c:v>
                </c:pt>
                <c:pt idx="21">
                  <c:v>20.2</c:v>
                </c:pt>
                <c:pt idx="22">
                  <c:v>21</c:v>
                </c:pt>
                <c:pt idx="23">
                  <c:v>21.4</c:v>
                </c:pt>
                <c:pt idx="24">
                  <c:v>22</c:v>
                </c:pt>
                <c:pt idx="25">
                  <c:v>22.4</c:v>
                </c:pt>
                <c:pt idx="26">
                  <c:v>22.8</c:v>
                </c:pt>
                <c:pt idx="27">
                  <c:v>23.4</c:v>
                </c:pt>
                <c:pt idx="28">
                  <c:v>23.8</c:v>
                </c:pt>
                <c:pt idx="29">
                  <c:v>24.4</c:v>
                </c:pt>
                <c:pt idx="30">
                  <c:v>24.8</c:v>
                </c:pt>
                <c:pt idx="31">
                  <c:v>25.4</c:v>
                </c:pt>
                <c:pt idx="32">
                  <c:v>25.8</c:v>
                </c:pt>
                <c:pt idx="33">
                  <c:v>26.4</c:v>
                </c:pt>
                <c:pt idx="34">
                  <c:v>26.8</c:v>
                </c:pt>
                <c:pt idx="35">
                  <c:v>27.6</c:v>
                </c:pt>
                <c:pt idx="36">
                  <c:v>27.8</c:v>
                </c:pt>
                <c:pt idx="37">
                  <c:v>28.6</c:v>
                </c:pt>
                <c:pt idx="38">
                  <c:v>29</c:v>
                </c:pt>
                <c:pt idx="39">
                  <c:v>29.6</c:v>
                </c:pt>
                <c:pt idx="40">
                  <c:v>30</c:v>
                </c:pt>
                <c:pt idx="41">
                  <c:v>30.4</c:v>
                </c:pt>
                <c:pt idx="42">
                  <c:v>31</c:v>
                </c:pt>
                <c:pt idx="43">
                  <c:v>31.6</c:v>
                </c:pt>
                <c:pt idx="44">
                  <c:v>32</c:v>
                </c:pt>
                <c:pt idx="45">
                  <c:v>32.6</c:v>
                </c:pt>
                <c:pt idx="46">
                  <c:v>33.200000000000003</c:v>
                </c:pt>
                <c:pt idx="47">
                  <c:v>33.6</c:v>
                </c:pt>
                <c:pt idx="48">
                  <c:v>34.200000000000003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1BF-5F4A-B613-EDC9394A043C}"/>
            </c:ext>
          </c:extLst>
        </c:ser>
        <c:ser>
          <c:idx val="5"/>
          <c:order val="5"/>
          <c:tx>
            <c:v>12" Extension 3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'Green Bungees'!$AC$4:$AC$52</c:f>
              <c:numCache>
                <c:formatCode>General</c:formatCode>
                <c:ptCount val="49"/>
                <c:pt idx="0">
                  <c:v>0</c:v>
                </c:pt>
                <c:pt idx="1">
                  <c:v>1.2699999999999999E-2</c:v>
                </c:pt>
                <c:pt idx="2">
                  <c:v>2.5399999999999999E-2</c:v>
                </c:pt>
                <c:pt idx="3">
                  <c:v>3.8099999999999995E-2</c:v>
                </c:pt>
                <c:pt idx="4">
                  <c:v>5.0799999999999998E-2</c:v>
                </c:pt>
                <c:pt idx="5">
                  <c:v>6.3500000000000001E-2</c:v>
                </c:pt>
                <c:pt idx="6">
                  <c:v>7.619999999999999E-2</c:v>
                </c:pt>
                <c:pt idx="7">
                  <c:v>8.8899999999999993E-2</c:v>
                </c:pt>
                <c:pt idx="8">
                  <c:v>0.1016</c:v>
                </c:pt>
                <c:pt idx="9">
                  <c:v>0.1143</c:v>
                </c:pt>
                <c:pt idx="10">
                  <c:v>0.127</c:v>
                </c:pt>
                <c:pt idx="11">
                  <c:v>0.13969999999999999</c:v>
                </c:pt>
                <c:pt idx="12">
                  <c:v>0.15239999999999998</c:v>
                </c:pt>
                <c:pt idx="13">
                  <c:v>0.1651</c:v>
                </c:pt>
                <c:pt idx="14">
                  <c:v>0.17779999999999999</c:v>
                </c:pt>
                <c:pt idx="15">
                  <c:v>0.1905</c:v>
                </c:pt>
                <c:pt idx="16">
                  <c:v>0.20319999999999999</c:v>
                </c:pt>
                <c:pt idx="17">
                  <c:v>0.21589999999999998</c:v>
                </c:pt>
                <c:pt idx="18">
                  <c:v>0.2286</c:v>
                </c:pt>
                <c:pt idx="19">
                  <c:v>0.24129999999999999</c:v>
                </c:pt>
                <c:pt idx="20">
                  <c:v>0.254</c:v>
                </c:pt>
                <c:pt idx="21">
                  <c:v>0.26669999999999999</c:v>
                </c:pt>
                <c:pt idx="22">
                  <c:v>0.27939999999999998</c:v>
                </c:pt>
                <c:pt idx="23">
                  <c:v>0.29209999999999997</c:v>
                </c:pt>
                <c:pt idx="24">
                  <c:v>0.30479999999999996</c:v>
                </c:pt>
                <c:pt idx="25">
                  <c:v>0.3175</c:v>
                </c:pt>
                <c:pt idx="26">
                  <c:v>0.33019999999999999</c:v>
                </c:pt>
                <c:pt idx="27">
                  <c:v>0.34289999999999998</c:v>
                </c:pt>
                <c:pt idx="28">
                  <c:v>0.35559999999999997</c:v>
                </c:pt>
                <c:pt idx="29">
                  <c:v>0.36829999999999996</c:v>
                </c:pt>
                <c:pt idx="30">
                  <c:v>0.38100000000000001</c:v>
                </c:pt>
                <c:pt idx="31">
                  <c:v>0.39369999999999999</c:v>
                </c:pt>
                <c:pt idx="32">
                  <c:v>0.40639999999999998</c:v>
                </c:pt>
                <c:pt idx="33">
                  <c:v>0.41909999999999997</c:v>
                </c:pt>
                <c:pt idx="34">
                  <c:v>0.43179999999999996</c:v>
                </c:pt>
                <c:pt idx="35">
                  <c:v>0.44450000000000001</c:v>
                </c:pt>
                <c:pt idx="36">
                  <c:v>0.4572</c:v>
                </c:pt>
                <c:pt idx="37">
                  <c:v>0.46989999999999998</c:v>
                </c:pt>
                <c:pt idx="38">
                  <c:v>0.48259999999999997</c:v>
                </c:pt>
                <c:pt idx="39">
                  <c:v>0.49529999999999996</c:v>
                </c:pt>
                <c:pt idx="40">
                  <c:v>0.50800000000000001</c:v>
                </c:pt>
                <c:pt idx="41">
                  <c:v>0.52069999999999994</c:v>
                </c:pt>
                <c:pt idx="42">
                  <c:v>0.53339999999999999</c:v>
                </c:pt>
                <c:pt idx="43">
                  <c:v>0.54610000000000003</c:v>
                </c:pt>
                <c:pt idx="44">
                  <c:v>0.55879999999999996</c:v>
                </c:pt>
                <c:pt idx="45">
                  <c:v>0.57150000000000001</c:v>
                </c:pt>
                <c:pt idx="46">
                  <c:v>0.58419999999999994</c:v>
                </c:pt>
                <c:pt idx="47">
                  <c:v>0.59689999999999999</c:v>
                </c:pt>
                <c:pt idx="48">
                  <c:v>0.60959999999999992</c:v>
                </c:pt>
              </c:numCache>
            </c:numRef>
          </c:xVal>
          <c:yVal>
            <c:numRef>
              <c:f>'Green Bungees'!$AD$4:$AD$52</c:f>
              <c:numCache>
                <c:formatCode>General</c:formatCode>
                <c:ptCount val="49"/>
                <c:pt idx="0">
                  <c:v>0</c:v>
                </c:pt>
                <c:pt idx="1">
                  <c:v>2</c:v>
                </c:pt>
                <c:pt idx="2">
                  <c:v>3.4</c:v>
                </c:pt>
                <c:pt idx="3">
                  <c:v>5.4</c:v>
                </c:pt>
                <c:pt idx="4">
                  <c:v>7</c:v>
                </c:pt>
                <c:pt idx="5">
                  <c:v>8.1999999999999993</c:v>
                </c:pt>
                <c:pt idx="6">
                  <c:v>9.4</c:v>
                </c:pt>
                <c:pt idx="7">
                  <c:v>10.6</c:v>
                </c:pt>
                <c:pt idx="8">
                  <c:v>11.8</c:v>
                </c:pt>
                <c:pt idx="9">
                  <c:v>12.6</c:v>
                </c:pt>
                <c:pt idx="10">
                  <c:v>13.6</c:v>
                </c:pt>
                <c:pt idx="11">
                  <c:v>14.4</c:v>
                </c:pt>
                <c:pt idx="12">
                  <c:v>15.4</c:v>
                </c:pt>
                <c:pt idx="13">
                  <c:v>16</c:v>
                </c:pt>
                <c:pt idx="14">
                  <c:v>17</c:v>
                </c:pt>
                <c:pt idx="15">
                  <c:v>17.600000000000001</c:v>
                </c:pt>
                <c:pt idx="16">
                  <c:v>18</c:v>
                </c:pt>
                <c:pt idx="17">
                  <c:v>18.8</c:v>
                </c:pt>
                <c:pt idx="18">
                  <c:v>19.2</c:v>
                </c:pt>
                <c:pt idx="19">
                  <c:v>20.2</c:v>
                </c:pt>
                <c:pt idx="20">
                  <c:v>20.6</c:v>
                </c:pt>
                <c:pt idx="21">
                  <c:v>21.6</c:v>
                </c:pt>
                <c:pt idx="22">
                  <c:v>21.8</c:v>
                </c:pt>
                <c:pt idx="23">
                  <c:v>22.2</c:v>
                </c:pt>
                <c:pt idx="24">
                  <c:v>23</c:v>
                </c:pt>
                <c:pt idx="25">
                  <c:v>23.6</c:v>
                </c:pt>
                <c:pt idx="26">
                  <c:v>24</c:v>
                </c:pt>
                <c:pt idx="27">
                  <c:v>24.4</c:v>
                </c:pt>
                <c:pt idx="28">
                  <c:v>25</c:v>
                </c:pt>
                <c:pt idx="29">
                  <c:v>25.6</c:v>
                </c:pt>
                <c:pt idx="30">
                  <c:v>26</c:v>
                </c:pt>
                <c:pt idx="31">
                  <c:v>26.6</c:v>
                </c:pt>
                <c:pt idx="32">
                  <c:v>27</c:v>
                </c:pt>
                <c:pt idx="33">
                  <c:v>27.8</c:v>
                </c:pt>
                <c:pt idx="34">
                  <c:v>28</c:v>
                </c:pt>
                <c:pt idx="35">
                  <c:v>28.6</c:v>
                </c:pt>
                <c:pt idx="36">
                  <c:v>29</c:v>
                </c:pt>
                <c:pt idx="37">
                  <c:v>29.6</c:v>
                </c:pt>
                <c:pt idx="38">
                  <c:v>30.2</c:v>
                </c:pt>
                <c:pt idx="39">
                  <c:v>30.8</c:v>
                </c:pt>
                <c:pt idx="40">
                  <c:v>31.2</c:v>
                </c:pt>
                <c:pt idx="41">
                  <c:v>31.8</c:v>
                </c:pt>
                <c:pt idx="42">
                  <c:v>32.4</c:v>
                </c:pt>
                <c:pt idx="43">
                  <c:v>32.6</c:v>
                </c:pt>
                <c:pt idx="44">
                  <c:v>33</c:v>
                </c:pt>
                <c:pt idx="45">
                  <c:v>33.799999999999997</c:v>
                </c:pt>
                <c:pt idx="46">
                  <c:v>34.200000000000003</c:v>
                </c:pt>
                <c:pt idx="47">
                  <c:v>34.799999999999997</c:v>
                </c:pt>
                <c:pt idx="48">
                  <c:v>35.200000000000003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1BF-5F4A-B613-EDC9394A0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059455"/>
        <c:axId val="2081956800"/>
      </c:scatterChart>
      <c:valAx>
        <c:axId val="83605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Length</a:t>
                </a:r>
                <a:r>
                  <a:rPr lang="en-US" sz="1200" baseline="0"/>
                  <a:t>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956800"/>
        <c:crosses val="autoZero"/>
        <c:crossBetween val="midCat"/>
      </c:valAx>
      <c:valAx>
        <c:axId val="208195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Force</a:t>
                </a:r>
                <a:r>
                  <a:rPr lang="en-US" sz="1200" baseline="0"/>
                  <a:t> (N)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059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6" Extension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'Black Bungees'!$C$4:$C$52</c:f>
              <c:numCache>
                <c:formatCode>General</c:formatCode>
                <c:ptCount val="49"/>
                <c:pt idx="0">
                  <c:v>0</c:v>
                </c:pt>
                <c:pt idx="1">
                  <c:v>6.3499999999999997E-3</c:v>
                </c:pt>
                <c:pt idx="2">
                  <c:v>1.2699999999999999E-2</c:v>
                </c:pt>
                <c:pt idx="3">
                  <c:v>1.9049999999999997E-2</c:v>
                </c:pt>
                <c:pt idx="4">
                  <c:v>2.5399999999999999E-2</c:v>
                </c:pt>
                <c:pt idx="5">
                  <c:v>3.175E-2</c:v>
                </c:pt>
                <c:pt idx="6">
                  <c:v>3.8099999999999995E-2</c:v>
                </c:pt>
                <c:pt idx="7">
                  <c:v>4.4449999999999996E-2</c:v>
                </c:pt>
                <c:pt idx="8">
                  <c:v>5.0799999999999998E-2</c:v>
                </c:pt>
                <c:pt idx="9">
                  <c:v>5.7149999999999999E-2</c:v>
                </c:pt>
                <c:pt idx="10">
                  <c:v>6.3500000000000001E-2</c:v>
                </c:pt>
                <c:pt idx="11">
                  <c:v>6.9849999999999995E-2</c:v>
                </c:pt>
                <c:pt idx="12">
                  <c:v>7.619999999999999E-2</c:v>
                </c:pt>
                <c:pt idx="13">
                  <c:v>8.2549999999999998E-2</c:v>
                </c:pt>
                <c:pt idx="14">
                  <c:v>8.8899999999999993E-2</c:v>
                </c:pt>
                <c:pt idx="15">
                  <c:v>9.5250000000000001E-2</c:v>
                </c:pt>
                <c:pt idx="16">
                  <c:v>0.1016</c:v>
                </c:pt>
                <c:pt idx="17">
                  <c:v>0.10794999999999999</c:v>
                </c:pt>
                <c:pt idx="18">
                  <c:v>0.1143</c:v>
                </c:pt>
                <c:pt idx="19">
                  <c:v>0.12064999999999999</c:v>
                </c:pt>
                <c:pt idx="20">
                  <c:v>0.127</c:v>
                </c:pt>
                <c:pt idx="21">
                  <c:v>0.13335</c:v>
                </c:pt>
                <c:pt idx="22">
                  <c:v>0.13969999999999999</c:v>
                </c:pt>
                <c:pt idx="23">
                  <c:v>0.14604999999999999</c:v>
                </c:pt>
                <c:pt idx="24">
                  <c:v>0.15239999999999998</c:v>
                </c:pt>
                <c:pt idx="25">
                  <c:v>0.15875</c:v>
                </c:pt>
                <c:pt idx="26">
                  <c:v>0.1651</c:v>
                </c:pt>
                <c:pt idx="27">
                  <c:v>0.17144999999999999</c:v>
                </c:pt>
                <c:pt idx="28">
                  <c:v>0.17779999999999999</c:v>
                </c:pt>
                <c:pt idx="29">
                  <c:v>0.18414999999999998</c:v>
                </c:pt>
                <c:pt idx="30">
                  <c:v>0.1905</c:v>
                </c:pt>
                <c:pt idx="31">
                  <c:v>0.19685</c:v>
                </c:pt>
                <c:pt idx="32">
                  <c:v>0.20319999999999999</c:v>
                </c:pt>
                <c:pt idx="33">
                  <c:v>0.20954999999999999</c:v>
                </c:pt>
                <c:pt idx="34">
                  <c:v>0.21589999999999998</c:v>
                </c:pt>
                <c:pt idx="35">
                  <c:v>0.22225</c:v>
                </c:pt>
                <c:pt idx="36">
                  <c:v>0.2286</c:v>
                </c:pt>
                <c:pt idx="37">
                  <c:v>0.23494999999999999</c:v>
                </c:pt>
                <c:pt idx="38">
                  <c:v>0.24129999999999999</c:v>
                </c:pt>
                <c:pt idx="39">
                  <c:v>0.24764999999999998</c:v>
                </c:pt>
                <c:pt idx="40">
                  <c:v>0.254</c:v>
                </c:pt>
                <c:pt idx="41">
                  <c:v>0.26034999999999997</c:v>
                </c:pt>
                <c:pt idx="42">
                  <c:v>0.26669999999999999</c:v>
                </c:pt>
                <c:pt idx="43">
                  <c:v>0.27305000000000001</c:v>
                </c:pt>
                <c:pt idx="44">
                  <c:v>0.27939999999999998</c:v>
                </c:pt>
                <c:pt idx="45">
                  <c:v>0.28575</c:v>
                </c:pt>
                <c:pt idx="46">
                  <c:v>0.29209999999999997</c:v>
                </c:pt>
                <c:pt idx="47">
                  <c:v>0.29844999999999999</c:v>
                </c:pt>
                <c:pt idx="48">
                  <c:v>0.30479999999999996</c:v>
                </c:pt>
              </c:numCache>
            </c:numRef>
          </c:xVal>
          <c:yVal>
            <c:numRef>
              <c:f>'Black Bungees'!$D$4:$D$52</c:f>
              <c:numCache>
                <c:formatCode>General</c:formatCode>
                <c:ptCount val="49"/>
                <c:pt idx="0">
                  <c:v>0</c:v>
                </c:pt>
                <c:pt idx="1">
                  <c:v>2.6</c:v>
                </c:pt>
                <c:pt idx="2">
                  <c:v>5</c:v>
                </c:pt>
                <c:pt idx="3">
                  <c:v>8.4</c:v>
                </c:pt>
                <c:pt idx="4">
                  <c:v>9.8000000000000007</c:v>
                </c:pt>
                <c:pt idx="5">
                  <c:v>13.4</c:v>
                </c:pt>
                <c:pt idx="6">
                  <c:v>14.6</c:v>
                </c:pt>
                <c:pt idx="7">
                  <c:v>16.2</c:v>
                </c:pt>
                <c:pt idx="8">
                  <c:v>18.8</c:v>
                </c:pt>
                <c:pt idx="9">
                  <c:v>19</c:v>
                </c:pt>
                <c:pt idx="10">
                  <c:v>21</c:v>
                </c:pt>
                <c:pt idx="11">
                  <c:v>24.2</c:v>
                </c:pt>
                <c:pt idx="12">
                  <c:v>25.6</c:v>
                </c:pt>
                <c:pt idx="13">
                  <c:v>26.4</c:v>
                </c:pt>
                <c:pt idx="14">
                  <c:v>27.4</c:v>
                </c:pt>
                <c:pt idx="15">
                  <c:v>28.4</c:v>
                </c:pt>
                <c:pt idx="16">
                  <c:v>29</c:v>
                </c:pt>
                <c:pt idx="17">
                  <c:v>30</c:v>
                </c:pt>
                <c:pt idx="18">
                  <c:v>31.2</c:v>
                </c:pt>
                <c:pt idx="19">
                  <c:v>32.799999999999997</c:v>
                </c:pt>
                <c:pt idx="20">
                  <c:v>33.799999999999997</c:v>
                </c:pt>
                <c:pt idx="21">
                  <c:v>34.200000000000003</c:v>
                </c:pt>
                <c:pt idx="22">
                  <c:v>35.4</c:v>
                </c:pt>
                <c:pt idx="23">
                  <c:v>36</c:v>
                </c:pt>
                <c:pt idx="24">
                  <c:v>37.200000000000003</c:v>
                </c:pt>
                <c:pt idx="25">
                  <c:v>37.799999999999997</c:v>
                </c:pt>
                <c:pt idx="26">
                  <c:v>38.4</c:v>
                </c:pt>
                <c:pt idx="27">
                  <c:v>38.799999999999997</c:v>
                </c:pt>
                <c:pt idx="28">
                  <c:v>40.200000000000003</c:v>
                </c:pt>
                <c:pt idx="29">
                  <c:v>40.799999999999997</c:v>
                </c:pt>
                <c:pt idx="30">
                  <c:v>40.799999999999997</c:v>
                </c:pt>
                <c:pt idx="31">
                  <c:v>42.4</c:v>
                </c:pt>
                <c:pt idx="32">
                  <c:v>43</c:v>
                </c:pt>
                <c:pt idx="33">
                  <c:v>43.6</c:v>
                </c:pt>
                <c:pt idx="34">
                  <c:v>44.6</c:v>
                </c:pt>
                <c:pt idx="35">
                  <c:v>45.4</c:v>
                </c:pt>
                <c:pt idx="36">
                  <c:v>46</c:v>
                </c:pt>
                <c:pt idx="37">
                  <c:v>46.8</c:v>
                </c:pt>
                <c:pt idx="38">
                  <c:v>47.2</c:v>
                </c:pt>
                <c:pt idx="39">
                  <c:v>47.8</c:v>
                </c:pt>
                <c:pt idx="40">
                  <c:v>48.4</c:v>
                </c:pt>
                <c:pt idx="41">
                  <c:v>49.6</c:v>
                </c:pt>
                <c:pt idx="42">
                  <c:v>50.4</c:v>
                </c:pt>
                <c:pt idx="43">
                  <c:v>51</c:v>
                </c:pt>
                <c:pt idx="44">
                  <c:v>51.6</c:v>
                </c:pt>
                <c:pt idx="45">
                  <c:v>52.4</c:v>
                </c:pt>
                <c:pt idx="46">
                  <c:v>52.8</c:v>
                </c:pt>
                <c:pt idx="47">
                  <c:v>54</c:v>
                </c:pt>
                <c:pt idx="48">
                  <c:v>54.8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36-2F41-9D54-2F039AD8E714}"/>
            </c:ext>
          </c:extLst>
        </c:ser>
        <c:ser>
          <c:idx val="1"/>
          <c:order val="1"/>
          <c:tx>
            <c:v>6" Extension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'Black Bungees'!$H$4:$H$52</c:f>
              <c:numCache>
                <c:formatCode>General</c:formatCode>
                <c:ptCount val="49"/>
                <c:pt idx="0">
                  <c:v>0</c:v>
                </c:pt>
                <c:pt idx="1">
                  <c:v>6.3499999999999997E-3</c:v>
                </c:pt>
                <c:pt idx="2">
                  <c:v>1.2699999999999999E-2</c:v>
                </c:pt>
                <c:pt idx="3">
                  <c:v>1.9049999999999997E-2</c:v>
                </c:pt>
                <c:pt idx="4">
                  <c:v>2.5399999999999999E-2</c:v>
                </c:pt>
                <c:pt idx="5">
                  <c:v>3.175E-2</c:v>
                </c:pt>
                <c:pt idx="6">
                  <c:v>3.8099999999999995E-2</c:v>
                </c:pt>
                <c:pt idx="7">
                  <c:v>4.4449999999999996E-2</c:v>
                </c:pt>
                <c:pt idx="8">
                  <c:v>5.0799999999999998E-2</c:v>
                </c:pt>
                <c:pt idx="9">
                  <c:v>5.7149999999999999E-2</c:v>
                </c:pt>
                <c:pt idx="10">
                  <c:v>6.3500000000000001E-2</c:v>
                </c:pt>
                <c:pt idx="11">
                  <c:v>6.9849999999999995E-2</c:v>
                </c:pt>
                <c:pt idx="12">
                  <c:v>7.619999999999999E-2</c:v>
                </c:pt>
                <c:pt idx="13">
                  <c:v>8.2549999999999998E-2</c:v>
                </c:pt>
                <c:pt idx="14">
                  <c:v>8.8899999999999993E-2</c:v>
                </c:pt>
                <c:pt idx="15">
                  <c:v>9.5250000000000001E-2</c:v>
                </c:pt>
                <c:pt idx="16">
                  <c:v>0.1016</c:v>
                </c:pt>
                <c:pt idx="17">
                  <c:v>0.10794999999999999</c:v>
                </c:pt>
                <c:pt idx="18">
                  <c:v>0.1143</c:v>
                </c:pt>
                <c:pt idx="19">
                  <c:v>0.12064999999999999</c:v>
                </c:pt>
                <c:pt idx="20">
                  <c:v>0.127</c:v>
                </c:pt>
                <c:pt idx="21">
                  <c:v>0.13335</c:v>
                </c:pt>
                <c:pt idx="22">
                  <c:v>0.13969999999999999</c:v>
                </c:pt>
                <c:pt idx="23">
                  <c:v>0.14604999999999999</c:v>
                </c:pt>
                <c:pt idx="24">
                  <c:v>0.15239999999999998</c:v>
                </c:pt>
                <c:pt idx="25">
                  <c:v>0.15875</c:v>
                </c:pt>
                <c:pt idx="26">
                  <c:v>0.1651</c:v>
                </c:pt>
                <c:pt idx="27">
                  <c:v>0.17144999999999999</c:v>
                </c:pt>
                <c:pt idx="28">
                  <c:v>0.17779999999999999</c:v>
                </c:pt>
                <c:pt idx="29">
                  <c:v>0.18414999999999998</c:v>
                </c:pt>
                <c:pt idx="30">
                  <c:v>0.1905</c:v>
                </c:pt>
                <c:pt idx="31">
                  <c:v>0.19685</c:v>
                </c:pt>
                <c:pt idx="32">
                  <c:v>0.20319999999999999</c:v>
                </c:pt>
                <c:pt idx="33">
                  <c:v>0.20954999999999999</c:v>
                </c:pt>
                <c:pt idx="34">
                  <c:v>0.21589999999999998</c:v>
                </c:pt>
                <c:pt idx="35">
                  <c:v>0.22225</c:v>
                </c:pt>
                <c:pt idx="36">
                  <c:v>0.2286</c:v>
                </c:pt>
                <c:pt idx="37">
                  <c:v>0.23494999999999999</c:v>
                </c:pt>
                <c:pt idx="38">
                  <c:v>0.24129999999999999</c:v>
                </c:pt>
                <c:pt idx="39">
                  <c:v>0.24764999999999998</c:v>
                </c:pt>
                <c:pt idx="40">
                  <c:v>0.254</c:v>
                </c:pt>
                <c:pt idx="41">
                  <c:v>0.26034999999999997</c:v>
                </c:pt>
                <c:pt idx="42">
                  <c:v>0.26669999999999999</c:v>
                </c:pt>
                <c:pt idx="43">
                  <c:v>0.27305000000000001</c:v>
                </c:pt>
                <c:pt idx="44">
                  <c:v>0.27939999999999998</c:v>
                </c:pt>
                <c:pt idx="45">
                  <c:v>0.28575</c:v>
                </c:pt>
                <c:pt idx="46">
                  <c:v>0.29209999999999997</c:v>
                </c:pt>
                <c:pt idx="47">
                  <c:v>0.29844999999999999</c:v>
                </c:pt>
                <c:pt idx="48">
                  <c:v>0.30479999999999996</c:v>
                </c:pt>
              </c:numCache>
            </c:numRef>
          </c:xVal>
          <c:yVal>
            <c:numRef>
              <c:f>'Black Bungees'!$I$4:$I$52</c:f>
              <c:numCache>
                <c:formatCode>General</c:formatCode>
                <c:ptCount val="49"/>
                <c:pt idx="0">
                  <c:v>0</c:v>
                </c:pt>
                <c:pt idx="1">
                  <c:v>3</c:v>
                </c:pt>
                <c:pt idx="2">
                  <c:v>4.8</c:v>
                </c:pt>
                <c:pt idx="3">
                  <c:v>7</c:v>
                </c:pt>
                <c:pt idx="4">
                  <c:v>8.8000000000000007</c:v>
                </c:pt>
                <c:pt idx="5">
                  <c:v>11.8</c:v>
                </c:pt>
                <c:pt idx="6">
                  <c:v>13.2</c:v>
                </c:pt>
                <c:pt idx="7">
                  <c:v>15.4</c:v>
                </c:pt>
                <c:pt idx="8">
                  <c:v>16.2</c:v>
                </c:pt>
                <c:pt idx="9">
                  <c:v>17.600000000000001</c:v>
                </c:pt>
                <c:pt idx="10">
                  <c:v>18.2</c:v>
                </c:pt>
                <c:pt idx="11">
                  <c:v>20.2</c:v>
                </c:pt>
                <c:pt idx="12">
                  <c:v>21</c:v>
                </c:pt>
                <c:pt idx="13">
                  <c:v>22.2</c:v>
                </c:pt>
                <c:pt idx="14">
                  <c:v>23.6</c:v>
                </c:pt>
                <c:pt idx="15">
                  <c:v>24.6</c:v>
                </c:pt>
                <c:pt idx="16">
                  <c:v>25.2</c:v>
                </c:pt>
                <c:pt idx="17">
                  <c:v>26.4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29.8</c:v>
                </c:pt>
                <c:pt idx="22">
                  <c:v>30.8</c:v>
                </c:pt>
                <c:pt idx="23">
                  <c:v>31.4</c:v>
                </c:pt>
                <c:pt idx="24">
                  <c:v>32</c:v>
                </c:pt>
                <c:pt idx="25">
                  <c:v>32.6</c:v>
                </c:pt>
                <c:pt idx="26">
                  <c:v>33.799999999999997</c:v>
                </c:pt>
                <c:pt idx="27">
                  <c:v>34.6</c:v>
                </c:pt>
                <c:pt idx="28">
                  <c:v>35.4</c:v>
                </c:pt>
                <c:pt idx="29">
                  <c:v>35.799999999999997</c:v>
                </c:pt>
                <c:pt idx="30">
                  <c:v>36.6</c:v>
                </c:pt>
                <c:pt idx="31">
                  <c:v>37.6</c:v>
                </c:pt>
                <c:pt idx="32">
                  <c:v>38.4</c:v>
                </c:pt>
                <c:pt idx="33">
                  <c:v>38.799999999999997</c:v>
                </c:pt>
                <c:pt idx="34">
                  <c:v>40.200000000000003</c:v>
                </c:pt>
                <c:pt idx="35">
                  <c:v>40.799999999999997</c:v>
                </c:pt>
                <c:pt idx="36">
                  <c:v>41.1</c:v>
                </c:pt>
                <c:pt idx="37">
                  <c:v>42.6</c:v>
                </c:pt>
                <c:pt idx="38">
                  <c:v>43.4</c:v>
                </c:pt>
                <c:pt idx="39">
                  <c:v>44.2</c:v>
                </c:pt>
                <c:pt idx="40">
                  <c:v>45</c:v>
                </c:pt>
                <c:pt idx="41">
                  <c:v>45.2</c:v>
                </c:pt>
                <c:pt idx="42">
                  <c:v>46.8</c:v>
                </c:pt>
                <c:pt idx="43">
                  <c:v>47.2</c:v>
                </c:pt>
                <c:pt idx="44">
                  <c:v>48</c:v>
                </c:pt>
                <c:pt idx="45">
                  <c:v>49.4</c:v>
                </c:pt>
                <c:pt idx="46">
                  <c:v>50</c:v>
                </c:pt>
                <c:pt idx="47">
                  <c:v>51</c:v>
                </c:pt>
                <c:pt idx="48">
                  <c:v>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036-2F41-9D54-2F039AD8E714}"/>
            </c:ext>
          </c:extLst>
        </c:ser>
        <c:ser>
          <c:idx val="2"/>
          <c:order val="2"/>
          <c:tx>
            <c:v>6" Extension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'Black Bungees'!$M$4:$M$52</c:f>
              <c:numCache>
                <c:formatCode>General</c:formatCode>
                <c:ptCount val="49"/>
                <c:pt idx="0">
                  <c:v>0</c:v>
                </c:pt>
                <c:pt idx="1">
                  <c:v>6.3499999999999997E-3</c:v>
                </c:pt>
                <c:pt idx="2">
                  <c:v>1.2699999999999999E-2</c:v>
                </c:pt>
                <c:pt idx="3">
                  <c:v>1.9049999999999997E-2</c:v>
                </c:pt>
                <c:pt idx="4">
                  <c:v>2.5399999999999999E-2</c:v>
                </c:pt>
                <c:pt idx="5">
                  <c:v>3.175E-2</c:v>
                </c:pt>
                <c:pt idx="6">
                  <c:v>3.8099999999999995E-2</c:v>
                </c:pt>
                <c:pt idx="7">
                  <c:v>4.4449999999999996E-2</c:v>
                </c:pt>
                <c:pt idx="8">
                  <c:v>5.0799999999999998E-2</c:v>
                </c:pt>
                <c:pt idx="9">
                  <c:v>5.7149999999999999E-2</c:v>
                </c:pt>
                <c:pt idx="10">
                  <c:v>6.3500000000000001E-2</c:v>
                </c:pt>
                <c:pt idx="11">
                  <c:v>6.9849999999999995E-2</c:v>
                </c:pt>
                <c:pt idx="12">
                  <c:v>7.619999999999999E-2</c:v>
                </c:pt>
                <c:pt idx="13">
                  <c:v>8.2549999999999998E-2</c:v>
                </c:pt>
                <c:pt idx="14">
                  <c:v>8.8899999999999993E-2</c:v>
                </c:pt>
                <c:pt idx="15">
                  <c:v>9.5250000000000001E-2</c:v>
                </c:pt>
                <c:pt idx="16">
                  <c:v>0.1016</c:v>
                </c:pt>
                <c:pt idx="17">
                  <c:v>0.10794999999999999</c:v>
                </c:pt>
                <c:pt idx="18">
                  <c:v>0.1143</c:v>
                </c:pt>
                <c:pt idx="19">
                  <c:v>0.12064999999999999</c:v>
                </c:pt>
                <c:pt idx="20">
                  <c:v>0.127</c:v>
                </c:pt>
                <c:pt idx="21">
                  <c:v>0.13335</c:v>
                </c:pt>
                <c:pt idx="22">
                  <c:v>0.13969999999999999</c:v>
                </c:pt>
                <c:pt idx="23">
                  <c:v>0.14604999999999999</c:v>
                </c:pt>
                <c:pt idx="24">
                  <c:v>0.15239999999999998</c:v>
                </c:pt>
                <c:pt idx="25">
                  <c:v>0.15875</c:v>
                </c:pt>
                <c:pt idx="26">
                  <c:v>0.1651</c:v>
                </c:pt>
                <c:pt idx="27">
                  <c:v>0.17144999999999999</c:v>
                </c:pt>
                <c:pt idx="28">
                  <c:v>0.17779999999999999</c:v>
                </c:pt>
                <c:pt idx="29">
                  <c:v>0.18414999999999998</c:v>
                </c:pt>
                <c:pt idx="30">
                  <c:v>0.1905</c:v>
                </c:pt>
                <c:pt idx="31">
                  <c:v>0.19685</c:v>
                </c:pt>
                <c:pt idx="32">
                  <c:v>0.20319999999999999</c:v>
                </c:pt>
                <c:pt idx="33">
                  <c:v>0.20954999999999999</c:v>
                </c:pt>
                <c:pt idx="34">
                  <c:v>0.21589999999999998</c:v>
                </c:pt>
                <c:pt idx="35">
                  <c:v>0.22225</c:v>
                </c:pt>
                <c:pt idx="36">
                  <c:v>0.2286</c:v>
                </c:pt>
                <c:pt idx="37">
                  <c:v>0.23494999999999999</c:v>
                </c:pt>
                <c:pt idx="38">
                  <c:v>0.24129999999999999</c:v>
                </c:pt>
                <c:pt idx="39">
                  <c:v>0.24764999999999998</c:v>
                </c:pt>
                <c:pt idx="40">
                  <c:v>0.254</c:v>
                </c:pt>
                <c:pt idx="41">
                  <c:v>0.26034999999999997</c:v>
                </c:pt>
                <c:pt idx="42">
                  <c:v>0.26669999999999999</c:v>
                </c:pt>
                <c:pt idx="43">
                  <c:v>0.27305000000000001</c:v>
                </c:pt>
                <c:pt idx="44">
                  <c:v>0.27939999999999998</c:v>
                </c:pt>
                <c:pt idx="45">
                  <c:v>0.28575</c:v>
                </c:pt>
                <c:pt idx="46">
                  <c:v>0.29209999999999997</c:v>
                </c:pt>
                <c:pt idx="47">
                  <c:v>0.29844999999999999</c:v>
                </c:pt>
                <c:pt idx="48">
                  <c:v>0.30479999999999996</c:v>
                </c:pt>
              </c:numCache>
            </c:numRef>
          </c:xVal>
          <c:yVal>
            <c:numRef>
              <c:f>'Black Bungees'!$N$4:$N$52</c:f>
              <c:numCache>
                <c:formatCode>General</c:formatCode>
                <c:ptCount val="49"/>
                <c:pt idx="0">
                  <c:v>0</c:v>
                </c:pt>
                <c:pt idx="1">
                  <c:v>3.2</c:v>
                </c:pt>
                <c:pt idx="2">
                  <c:v>4.5999999999999996</c:v>
                </c:pt>
                <c:pt idx="3">
                  <c:v>7.2</c:v>
                </c:pt>
                <c:pt idx="4">
                  <c:v>9</c:v>
                </c:pt>
                <c:pt idx="5">
                  <c:v>10.8</c:v>
                </c:pt>
                <c:pt idx="6">
                  <c:v>12.8</c:v>
                </c:pt>
                <c:pt idx="7">
                  <c:v>13.8</c:v>
                </c:pt>
                <c:pt idx="8">
                  <c:v>15.4</c:v>
                </c:pt>
                <c:pt idx="9">
                  <c:v>17</c:v>
                </c:pt>
                <c:pt idx="10">
                  <c:v>18.399999999999999</c:v>
                </c:pt>
                <c:pt idx="11">
                  <c:v>18.399999999999999</c:v>
                </c:pt>
                <c:pt idx="12">
                  <c:v>21.2</c:v>
                </c:pt>
                <c:pt idx="13">
                  <c:v>22</c:v>
                </c:pt>
                <c:pt idx="14">
                  <c:v>23.4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26.8</c:v>
                </c:pt>
                <c:pt idx="19">
                  <c:v>27.8</c:v>
                </c:pt>
                <c:pt idx="20">
                  <c:v>28.4</c:v>
                </c:pt>
                <c:pt idx="21">
                  <c:v>29.4</c:v>
                </c:pt>
                <c:pt idx="22">
                  <c:v>30</c:v>
                </c:pt>
                <c:pt idx="23">
                  <c:v>31</c:v>
                </c:pt>
                <c:pt idx="24">
                  <c:v>31.6</c:v>
                </c:pt>
                <c:pt idx="25">
                  <c:v>32.4</c:v>
                </c:pt>
                <c:pt idx="26">
                  <c:v>33.200000000000003</c:v>
                </c:pt>
                <c:pt idx="27">
                  <c:v>34.200000000000003</c:v>
                </c:pt>
                <c:pt idx="28">
                  <c:v>34.799999999999997</c:v>
                </c:pt>
                <c:pt idx="29">
                  <c:v>35.4</c:v>
                </c:pt>
                <c:pt idx="30">
                  <c:v>36.4</c:v>
                </c:pt>
                <c:pt idx="31">
                  <c:v>37.200000000000003</c:v>
                </c:pt>
                <c:pt idx="32">
                  <c:v>37.6</c:v>
                </c:pt>
                <c:pt idx="33">
                  <c:v>38.200000000000003</c:v>
                </c:pt>
                <c:pt idx="34">
                  <c:v>39.4</c:v>
                </c:pt>
                <c:pt idx="35">
                  <c:v>40.200000000000003</c:v>
                </c:pt>
                <c:pt idx="36">
                  <c:v>40.6</c:v>
                </c:pt>
                <c:pt idx="37">
                  <c:v>41.4</c:v>
                </c:pt>
                <c:pt idx="38">
                  <c:v>42</c:v>
                </c:pt>
                <c:pt idx="39">
                  <c:v>43.2</c:v>
                </c:pt>
                <c:pt idx="40">
                  <c:v>43.6</c:v>
                </c:pt>
                <c:pt idx="41">
                  <c:v>44.6</c:v>
                </c:pt>
                <c:pt idx="42">
                  <c:v>45.6</c:v>
                </c:pt>
                <c:pt idx="43">
                  <c:v>46.2</c:v>
                </c:pt>
                <c:pt idx="44">
                  <c:v>47</c:v>
                </c:pt>
                <c:pt idx="45">
                  <c:v>47.6</c:v>
                </c:pt>
                <c:pt idx="46">
                  <c:v>48.8</c:v>
                </c:pt>
                <c:pt idx="47">
                  <c:v>50</c:v>
                </c:pt>
                <c:pt idx="48">
                  <c:v>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036-2F41-9D54-2F039AD8E714}"/>
            </c:ext>
          </c:extLst>
        </c:ser>
        <c:ser>
          <c:idx val="3"/>
          <c:order val="3"/>
          <c:tx>
            <c:v>"12"" Extension 1"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'Black Bungees'!$S$4:$S$52</c:f>
              <c:numCache>
                <c:formatCode>General</c:formatCode>
                <c:ptCount val="49"/>
                <c:pt idx="0">
                  <c:v>0</c:v>
                </c:pt>
                <c:pt idx="1">
                  <c:v>1.2699999999999999E-2</c:v>
                </c:pt>
                <c:pt idx="2">
                  <c:v>2.5399999999999999E-2</c:v>
                </c:pt>
                <c:pt idx="3">
                  <c:v>3.8099999999999995E-2</c:v>
                </c:pt>
                <c:pt idx="4">
                  <c:v>5.0799999999999998E-2</c:v>
                </c:pt>
                <c:pt idx="5">
                  <c:v>6.3500000000000001E-2</c:v>
                </c:pt>
                <c:pt idx="6">
                  <c:v>7.619999999999999E-2</c:v>
                </c:pt>
                <c:pt idx="7">
                  <c:v>8.8899999999999993E-2</c:v>
                </c:pt>
                <c:pt idx="8">
                  <c:v>0.1016</c:v>
                </c:pt>
                <c:pt idx="9">
                  <c:v>0.1143</c:v>
                </c:pt>
                <c:pt idx="10">
                  <c:v>0.127</c:v>
                </c:pt>
                <c:pt idx="11">
                  <c:v>0.13969999999999999</c:v>
                </c:pt>
                <c:pt idx="12">
                  <c:v>0.15239999999999998</c:v>
                </c:pt>
                <c:pt idx="13">
                  <c:v>0.1651</c:v>
                </c:pt>
                <c:pt idx="14">
                  <c:v>0.17779999999999999</c:v>
                </c:pt>
                <c:pt idx="15">
                  <c:v>0.1905</c:v>
                </c:pt>
                <c:pt idx="16">
                  <c:v>0.20319999999999999</c:v>
                </c:pt>
                <c:pt idx="17">
                  <c:v>0.21589999999999998</c:v>
                </c:pt>
                <c:pt idx="18">
                  <c:v>0.2286</c:v>
                </c:pt>
                <c:pt idx="19">
                  <c:v>0.24129999999999999</c:v>
                </c:pt>
                <c:pt idx="20">
                  <c:v>0.254</c:v>
                </c:pt>
                <c:pt idx="21">
                  <c:v>0.26669999999999999</c:v>
                </c:pt>
                <c:pt idx="22">
                  <c:v>0.27939999999999998</c:v>
                </c:pt>
                <c:pt idx="23">
                  <c:v>0.29209999999999997</c:v>
                </c:pt>
                <c:pt idx="24">
                  <c:v>0.30479999999999996</c:v>
                </c:pt>
                <c:pt idx="25">
                  <c:v>0.3175</c:v>
                </c:pt>
                <c:pt idx="26">
                  <c:v>0.33019999999999999</c:v>
                </c:pt>
                <c:pt idx="27">
                  <c:v>0.34289999999999998</c:v>
                </c:pt>
                <c:pt idx="28">
                  <c:v>0.35559999999999997</c:v>
                </c:pt>
                <c:pt idx="29">
                  <c:v>0.36829999999999996</c:v>
                </c:pt>
                <c:pt idx="30">
                  <c:v>0.38100000000000001</c:v>
                </c:pt>
                <c:pt idx="31">
                  <c:v>0.39369999999999999</c:v>
                </c:pt>
                <c:pt idx="32">
                  <c:v>0.40639999999999998</c:v>
                </c:pt>
                <c:pt idx="33">
                  <c:v>0.41909999999999997</c:v>
                </c:pt>
                <c:pt idx="34">
                  <c:v>0.43179999999999996</c:v>
                </c:pt>
                <c:pt idx="35">
                  <c:v>0.44450000000000001</c:v>
                </c:pt>
                <c:pt idx="36">
                  <c:v>0.4572</c:v>
                </c:pt>
                <c:pt idx="37">
                  <c:v>0.46989999999999998</c:v>
                </c:pt>
                <c:pt idx="38">
                  <c:v>0.48259999999999997</c:v>
                </c:pt>
                <c:pt idx="39">
                  <c:v>0.49529999999999996</c:v>
                </c:pt>
                <c:pt idx="40">
                  <c:v>0.50800000000000001</c:v>
                </c:pt>
                <c:pt idx="41">
                  <c:v>0.52069999999999994</c:v>
                </c:pt>
                <c:pt idx="42">
                  <c:v>0.53339999999999999</c:v>
                </c:pt>
                <c:pt idx="43">
                  <c:v>0.54610000000000003</c:v>
                </c:pt>
                <c:pt idx="44">
                  <c:v>0.55879999999999996</c:v>
                </c:pt>
                <c:pt idx="45">
                  <c:v>0.57150000000000001</c:v>
                </c:pt>
                <c:pt idx="46">
                  <c:v>0.58419999999999994</c:v>
                </c:pt>
                <c:pt idx="47">
                  <c:v>0.59689999999999999</c:v>
                </c:pt>
                <c:pt idx="48">
                  <c:v>0.60959999999999992</c:v>
                </c:pt>
              </c:numCache>
            </c:numRef>
          </c:xVal>
          <c:yVal>
            <c:numRef>
              <c:f>'Black Bungees'!$T$4:$T$52</c:f>
              <c:numCache>
                <c:formatCode>General</c:formatCode>
                <c:ptCount val="49"/>
                <c:pt idx="0">
                  <c:v>0</c:v>
                </c:pt>
                <c:pt idx="1">
                  <c:v>3.8</c:v>
                </c:pt>
                <c:pt idx="2">
                  <c:v>6.8</c:v>
                </c:pt>
                <c:pt idx="3">
                  <c:v>10</c:v>
                </c:pt>
                <c:pt idx="4">
                  <c:v>13</c:v>
                </c:pt>
                <c:pt idx="5">
                  <c:v>15.8</c:v>
                </c:pt>
                <c:pt idx="6">
                  <c:v>16.399999999999999</c:v>
                </c:pt>
                <c:pt idx="7">
                  <c:v>17.8</c:v>
                </c:pt>
                <c:pt idx="8">
                  <c:v>19.8</c:v>
                </c:pt>
                <c:pt idx="9">
                  <c:v>21.8</c:v>
                </c:pt>
                <c:pt idx="10">
                  <c:v>22.8</c:v>
                </c:pt>
                <c:pt idx="11">
                  <c:v>24.2</c:v>
                </c:pt>
                <c:pt idx="12">
                  <c:v>25.2</c:v>
                </c:pt>
                <c:pt idx="13">
                  <c:v>26.4</c:v>
                </c:pt>
                <c:pt idx="14">
                  <c:v>27.8</c:v>
                </c:pt>
                <c:pt idx="15">
                  <c:v>29</c:v>
                </c:pt>
                <c:pt idx="16">
                  <c:v>29.8</c:v>
                </c:pt>
                <c:pt idx="17">
                  <c:v>31</c:v>
                </c:pt>
                <c:pt idx="18">
                  <c:v>31.8</c:v>
                </c:pt>
                <c:pt idx="19">
                  <c:v>32.799999999999997</c:v>
                </c:pt>
                <c:pt idx="20">
                  <c:v>33.6</c:v>
                </c:pt>
                <c:pt idx="21">
                  <c:v>34.6</c:v>
                </c:pt>
                <c:pt idx="22">
                  <c:v>35.4</c:v>
                </c:pt>
                <c:pt idx="23">
                  <c:v>36.4</c:v>
                </c:pt>
                <c:pt idx="24">
                  <c:v>37.200000000000003</c:v>
                </c:pt>
                <c:pt idx="25">
                  <c:v>38</c:v>
                </c:pt>
                <c:pt idx="26">
                  <c:v>38.4</c:v>
                </c:pt>
                <c:pt idx="27">
                  <c:v>39.6</c:v>
                </c:pt>
                <c:pt idx="28">
                  <c:v>40.200000000000003</c:v>
                </c:pt>
                <c:pt idx="29">
                  <c:v>41.2</c:v>
                </c:pt>
                <c:pt idx="30">
                  <c:v>41.8</c:v>
                </c:pt>
                <c:pt idx="31">
                  <c:v>43</c:v>
                </c:pt>
                <c:pt idx="32">
                  <c:v>44</c:v>
                </c:pt>
                <c:pt idx="33">
                  <c:v>44.6</c:v>
                </c:pt>
                <c:pt idx="34">
                  <c:v>45.4</c:v>
                </c:pt>
                <c:pt idx="35">
                  <c:v>46</c:v>
                </c:pt>
                <c:pt idx="36">
                  <c:v>46.6</c:v>
                </c:pt>
                <c:pt idx="37">
                  <c:v>47.2</c:v>
                </c:pt>
                <c:pt idx="38">
                  <c:v>48.2</c:v>
                </c:pt>
                <c:pt idx="39">
                  <c:v>49.2</c:v>
                </c:pt>
                <c:pt idx="40">
                  <c:v>49.8</c:v>
                </c:pt>
                <c:pt idx="41">
                  <c:v>50.4</c:v>
                </c:pt>
                <c:pt idx="42">
                  <c:v>51.2</c:v>
                </c:pt>
                <c:pt idx="43">
                  <c:v>52.2</c:v>
                </c:pt>
                <c:pt idx="44">
                  <c:v>53</c:v>
                </c:pt>
                <c:pt idx="45">
                  <c:v>53.8</c:v>
                </c:pt>
                <c:pt idx="46">
                  <c:v>54.6</c:v>
                </c:pt>
                <c:pt idx="47">
                  <c:v>55.2</c:v>
                </c:pt>
                <c:pt idx="48">
                  <c:v>56.2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71-6040-B777-DD3D28D2FD57}"/>
            </c:ext>
          </c:extLst>
        </c:ser>
        <c:ser>
          <c:idx val="4"/>
          <c:order val="4"/>
          <c:tx>
            <c:v>"12"" Extension 2"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'Black Bungees'!$X$4:$X$52</c:f>
              <c:numCache>
                <c:formatCode>General</c:formatCode>
                <c:ptCount val="49"/>
                <c:pt idx="0">
                  <c:v>0</c:v>
                </c:pt>
                <c:pt idx="1">
                  <c:v>1.2699999999999999E-2</c:v>
                </c:pt>
                <c:pt idx="2">
                  <c:v>2.5399999999999999E-2</c:v>
                </c:pt>
                <c:pt idx="3">
                  <c:v>3.8099999999999995E-2</c:v>
                </c:pt>
                <c:pt idx="4">
                  <c:v>5.0799999999999998E-2</c:v>
                </c:pt>
                <c:pt idx="5">
                  <c:v>6.3500000000000001E-2</c:v>
                </c:pt>
                <c:pt idx="6">
                  <c:v>7.619999999999999E-2</c:v>
                </c:pt>
                <c:pt idx="7">
                  <c:v>8.8899999999999993E-2</c:v>
                </c:pt>
                <c:pt idx="8">
                  <c:v>0.1016</c:v>
                </c:pt>
                <c:pt idx="9">
                  <c:v>0.1143</c:v>
                </c:pt>
                <c:pt idx="10">
                  <c:v>0.127</c:v>
                </c:pt>
                <c:pt idx="11">
                  <c:v>0.13969999999999999</c:v>
                </c:pt>
                <c:pt idx="12">
                  <c:v>0.15239999999999998</c:v>
                </c:pt>
                <c:pt idx="13">
                  <c:v>0.1651</c:v>
                </c:pt>
                <c:pt idx="14">
                  <c:v>0.17779999999999999</c:v>
                </c:pt>
                <c:pt idx="15">
                  <c:v>0.1905</c:v>
                </c:pt>
                <c:pt idx="16">
                  <c:v>0.20319999999999999</c:v>
                </c:pt>
                <c:pt idx="17">
                  <c:v>0.21589999999999998</c:v>
                </c:pt>
                <c:pt idx="18">
                  <c:v>0.2286</c:v>
                </c:pt>
                <c:pt idx="19">
                  <c:v>0.24129999999999999</c:v>
                </c:pt>
                <c:pt idx="20">
                  <c:v>0.254</c:v>
                </c:pt>
                <c:pt idx="21">
                  <c:v>0.26669999999999999</c:v>
                </c:pt>
                <c:pt idx="22">
                  <c:v>0.27939999999999998</c:v>
                </c:pt>
                <c:pt idx="23">
                  <c:v>0.29209999999999997</c:v>
                </c:pt>
                <c:pt idx="24">
                  <c:v>0.30479999999999996</c:v>
                </c:pt>
                <c:pt idx="25">
                  <c:v>0.3175</c:v>
                </c:pt>
                <c:pt idx="26">
                  <c:v>0.33019999999999999</c:v>
                </c:pt>
                <c:pt idx="27">
                  <c:v>0.34289999999999998</c:v>
                </c:pt>
                <c:pt idx="28">
                  <c:v>0.35559999999999997</c:v>
                </c:pt>
                <c:pt idx="29">
                  <c:v>0.36829999999999996</c:v>
                </c:pt>
                <c:pt idx="30">
                  <c:v>0.38100000000000001</c:v>
                </c:pt>
                <c:pt idx="31">
                  <c:v>0.39369999999999999</c:v>
                </c:pt>
                <c:pt idx="32">
                  <c:v>0.40639999999999998</c:v>
                </c:pt>
                <c:pt idx="33">
                  <c:v>0.41909999999999997</c:v>
                </c:pt>
                <c:pt idx="34">
                  <c:v>0.43179999999999996</c:v>
                </c:pt>
                <c:pt idx="35">
                  <c:v>0.44450000000000001</c:v>
                </c:pt>
                <c:pt idx="36">
                  <c:v>0.4572</c:v>
                </c:pt>
                <c:pt idx="37">
                  <c:v>0.46989999999999998</c:v>
                </c:pt>
                <c:pt idx="38">
                  <c:v>0.48259999999999997</c:v>
                </c:pt>
                <c:pt idx="39">
                  <c:v>0.49529999999999996</c:v>
                </c:pt>
                <c:pt idx="40">
                  <c:v>0.50800000000000001</c:v>
                </c:pt>
                <c:pt idx="41">
                  <c:v>0.52069999999999994</c:v>
                </c:pt>
                <c:pt idx="42">
                  <c:v>0.53339999999999999</c:v>
                </c:pt>
                <c:pt idx="43">
                  <c:v>0.54610000000000003</c:v>
                </c:pt>
                <c:pt idx="44">
                  <c:v>0.55879999999999996</c:v>
                </c:pt>
                <c:pt idx="45">
                  <c:v>0.57150000000000001</c:v>
                </c:pt>
                <c:pt idx="46">
                  <c:v>0.58419999999999994</c:v>
                </c:pt>
                <c:pt idx="47">
                  <c:v>0.59689999999999999</c:v>
                </c:pt>
                <c:pt idx="48">
                  <c:v>0.60959999999999992</c:v>
                </c:pt>
              </c:numCache>
            </c:numRef>
          </c:xVal>
          <c:yVal>
            <c:numRef>
              <c:f>'Black Bungees'!$Y$4:$Y$52</c:f>
              <c:numCache>
                <c:formatCode>General</c:formatCode>
                <c:ptCount val="49"/>
                <c:pt idx="0">
                  <c:v>0</c:v>
                </c:pt>
                <c:pt idx="1">
                  <c:v>3</c:v>
                </c:pt>
                <c:pt idx="2">
                  <c:v>6.4</c:v>
                </c:pt>
                <c:pt idx="3">
                  <c:v>9.1999999999999993</c:v>
                </c:pt>
                <c:pt idx="4">
                  <c:v>10.4</c:v>
                </c:pt>
                <c:pt idx="5">
                  <c:v>12.4</c:v>
                </c:pt>
                <c:pt idx="6">
                  <c:v>14.6</c:v>
                </c:pt>
                <c:pt idx="7">
                  <c:v>16.399999999999999</c:v>
                </c:pt>
                <c:pt idx="8">
                  <c:v>17.2</c:v>
                </c:pt>
                <c:pt idx="9">
                  <c:v>19.2</c:v>
                </c:pt>
                <c:pt idx="10">
                  <c:v>20.6</c:v>
                </c:pt>
                <c:pt idx="11">
                  <c:v>21.6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27.2</c:v>
                </c:pt>
                <c:pt idx="17">
                  <c:v>28</c:v>
                </c:pt>
                <c:pt idx="18">
                  <c:v>29</c:v>
                </c:pt>
                <c:pt idx="19">
                  <c:v>29.8</c:v>
                </c:pt>
                <c:pt idx="20">
                  <c:v>31</c:v>
                </c:pt>
                <c:pt idx="21">
                  <c:v>31.6</c:v>
                </c:pt>
                <c:pt idx="22">
                  <c:v>32.4</c:v>
                </c:pt>
                <c:pt idx="23">
                  <c:v>33.200000000000003</c:v>
                </c:pt>
                <c:pt idx="24">
                  <c:v>34</c:v>
                </c:pt>
                <c:pt idx="25">
                  <c:v>34.799999999999997</c:v>
                </c:pt>
                <c:pt idx="26">
                  <c:v>35.6</c:v>
                </c:pt>
                <c:pt idx="27">
                  <c:v>36.200000000000003</c:v>
                </c:pt>
                <c:pt idx="28">
                  <c:v>37.200000000000003</c:v>
                </c:pt>
                <c:pt idx="29">
                  <c:v>38.200000000000003</c:v>
                </c:pt>
                <c:pt idx="30">
                  <c:v>38.799999999999997</c:v>
                </c:pt>
                <c:pt idx="31">
                  <c:v>39.4</c:v>
                </c:pt>
                <c:pt idx="32">
                  <c:v>40.200000000000003</c:v>
                </c:pt>
                <c:pt idx="33">
                  <c:v>40.799999999999997</c:v>
                </c:pt>
                <c:pt idx="34">
                  <c:v>41.8</c:v>
                </c:pt>
                <c:pt idx="35">
                  <c:v>42.8</c:v>
                </c:pt>
                <c:pt idx="36">
                  <c:v>43.2</c:v>
                </c:pt>
                <c:pt idx="37">
                  <c:v>43.8</c:v>
                </c:pt>
                <c:pt idx="38">
                  <c:v>45.2</c:v>
                </c:pt>
                <c:pt idx="39">
                  <c:v>46</c:v>
                </c:pt>
                <c:pt idx="40">
                  <c:v>46.8</c:v>
                </c:pt>
                <c:pt idx="41">
                  <c:v>47.6</c:v>
                </c:pt>
                <c:pt idx="42">
                  <c:v>48.4</c:v>
                </c:pt>
                <c:pt idx="43">
                  <c:v>49.4</c:v>
                </c:pt>
                <c:pt idx="44">
                  <c:v>50.4</c:v>
                </c:pt>
                <c:pt idx="45">
                  <c:v>51.2</c:v>
                </c:pt>
                <c:pt idx="46">
                  <c:v>52.2</c:v>
                </c:pt>
                <c:pt idx="47">
                  <c:v>53.2</c:v>
                </c:pt>
                <c:pt idx="48">
                  <c:v>54.2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71-6040-B777-DD3D28D2FD57}"/>
            </c:ext>
          </c:extLst>
        </c:ser>
        <c:ser>
          <c:idx val="5"/>
          <c:order val="5"/>
          <c:tx>
            <c:v>"12"" Extension 3"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'Black Bungees'!$AC$4:$AC$52</c:f>
              <c:numCache>
                <c:formatCode>General</c:formatCode>
                <c:ptCount val="49"/>
                <c:pt idx="0">
                  <c:v>0</c:v>
                </c:pt>
                <c:pt idx="1">
                  <c:v>1.2699999999999999E-2</c:v>
                </c:pt>
                <c:pt idx="2">
                  <c:v>2.5399999999999999E-2</c:v>
                </c:pt>
                <c:pt idx="3">
                  <c:v>3.8099999999999995E-2</c:v>
                </c:pt>
                <c:pt idx="4">
                  <c:v>5.0799999999999998E-2</c:v>
                </c:pt>
                <c:pt idx="5">
                  <c:v>6.3500000000000001E-2</c:v>
                </c:pt>
                <c:pt idx="6">
                  <c:v>7.619999999999999E-2</c:v>
                </c:pt>
                <c:pt idx="7">
                  <c:v>8.8899999999999993E-2</c:v>
                </c:pt>
                <c:pt idx="8">
                  <c:v>0.1016</c:v>
                </c:pt>
                <c:pt idx="9">
                  <c:v>0.1143</c:v>
                </c:pt>
                <c:pt idx="10">
                  <c:v>0.127</c:v>
                </c:pt>
                <c:pt idx="11">
                  <c:v>0.13969999999999999</c:v>
                </c:pt>
                <c:pt idx="12">
                  <c:v>0.15239999999999998</c:v>
                </c:pt>
                <c:pt idx="13">
                  <c:v>0.1651</c:v>
                </c:pt>
                <c:pt idx="14">
                  <c:v>0.17779999999999999</c:v>
                </c:pt>
                <c:pt idx="15">
                  <c:v>0.1905</c:v>
                </c:pt>
                <c:pt idx="16">
                  <c:v>0.20319999999999999</c:v>
                </c:pt>
                <c:pt idx="17">
                  <c:v>0.21589999999999998</c:v>
                </c:pt>
                <c:pt idx="18">
                  <c:v>0.2286</c:v>
                </c:pt>
                <c:pt idx="19">
                  <c:v>0.24129999999999999</c:v>
                </c:pt>
                <c:pt idx="20">
                  <c:v>0.254</c:v>
                </c:pt>
                <c:pt idx="21">
                  <c:v>0.26669999999999999</c:v>
                </c:pt>
                <c:pt idx="22">
                  <c:v>0.27939999999999998</c:v>
                </c:pt>
                <c:pt idx="23">
                  <c:v>0.29209999999999997</c:v>
                </c:pt>
                <c:pt idx="24">
                  <c:v>0.30479999999999996</c:v>
                </c:pt>
                <c:pt idx="25">
                  <c:v>0.3175</c:v>
                </c:pt>
                <c:pt idx="26">
                  <c:v>0.33019999999999999</c:v>
                </c:pt>
                <c:pt idx="27">
                  <c:v>0.34289999999999998</c:v>
                </c:pt>
                <c:pt idx="28">
                  <c:v>0.35559999999999997</c:v>
                </c:pt>
                <c:pt idx="29">
                  <c:v>0.36829999999999996</c:v>
                </c:pt>
                <c:pt idx="30">
                  <c:v>0.38100000000000001</c:v>
                </c:pt>
                <c:pt idx="31">
                  <c:v>0.39369999999999999</c:v>
                </c:pt>
                <c:pt idx="32">
                  <c:v>0.40639999999999998</c:v>
                </c:pt>
                <c:pt idx="33">
                  <c:v>0.41909999999999997</c:v>
                </c:pt>
                <c:pt idx="34">
                  <c:v>0.43179999999999996</c:v>
                </c:pt>
                <c:pt idx="35">
                  <c:v>0.44450000000000001</c:v>
                </c:pt>
                <c:pt idx="36">
                  <c:v>0.4572</c:v>
                </c:pt>
                <c:pt idx="37">
                  <c:v>0.46989999999999998</c:v>
                </c:pt>
                <c:pt idx="38">
                  <c:v>0.48259999999999997</c:v>
                </c:pt>
                <c:pt idx="39">
                  <c:v>0.49529999999999996</c:v>
                </c:pt>
                <c:pt idx="40">
                  <c:v>0.50800000000000001</c:v>
                </c:pt>
                <c:pt idx="41">
                  <c:v>0.52069999999999994</c:v>
                </c:pt>
                <c:pt idx="42">
                  <c:v>0.53339999999999999</c:v>
                </c:pt>
                <c:pt idx="43">
                  <c:v>0.54610000000000003</c:v>
                </c:pt>
                <c:pt idx="44">
                  <c:v>0.55879999999999996</c:v>
                </c:pt>
                <c:pt idx="45">
                  <c:v>0.57150000000000001</c:v>
                </c:pt>
                <c:pt idx="46">
                  <c:v>0.58419999999999994</c:v>
                </c:pt>
                <c:pt idx="47">
                  <c:v>0.59689999999999999</c:v>
                </c:pt>
                <c:pt idx="48">
                  <c:v>0.60959999999999992</c:v>
                </c:pt>
              </c:numCache>
            </c:numRef>
          </c:xVal>
          <c:yVal>
            <c:numRef>
              <c:f>'Black Bungees'!$AD$4:$AD$52</c:f>
              <c:numCache>
                <c:formatCode>General</c:formatCode>
                <c:ptCount val="49"/>
                <c:pt idx="0">
                  <c:v>0</c:v>
                </c:pt>
                <c:pt idx="1">
                  <c:v>3</c:v>
                </c:pt>
                <c:pt idx="2">
                  <c:v>5.8</c:v>
                </c:pt>
                <c:pt idx="3">
                  <c:v>6.8</c:v>
                </c:pt>
                <c:pt idx="4">
                  <c:v>7.8</c:v>
                </c:pt>
                <c:pt idx="5">
                  <c:v>10</c:v>
                </c:pt>
                <c:pt idx="6">
                  <c:v>12.2</c:v>
                </c:pt>
                <c:pt idx="7">
                  <c:v>14.2</c:v>
                </c:pt>
                <c:pt idx="8">
                  <c:v>15.8</c:v>
                </c:pt>
                <c:pt idx="9">
                  <c:v>17.399999999999999</c:v>
                </c:pt>
                <c:pt idx="10">
                  <c:v>19.2</c:v>
                </c:pt>
                <c:pt idx="11">
                  <c:v>19.8</c:v>
                </c:pt>
                <c:pt idx="12">
                  <c:v>21.2</c:v>
                </c:pt>
                <c:pt idx="13">
                  <c:v>22.4</c:v>
                </c:pt>
                <c:pt idx="14">
                  <c:v>23.2</c:v>
                </c:pt>
                <c:pt idx="15">
                  <c:v>24.8</c:v>
                </c:pt>
                <c:pt idx="16">
                  <c:v>25.6</c:v>
                </c:pt>
                <c:pt idx="17">
                  <c:v>26.6</c:v>
                </c:pt>
                <c:pt idx="18">
                  <c:v>27.4</c:v>
                </c:pt>
                <c:pt idx="19">
                  <c:v>28.8</c:v>
                </c:pt>
                <c:pt idx="20">
                  <c:v>29.6</c:v>
                </c:pt>
                <c:pt idx="21">
                  <c:v>30.4</c:v>
                </c:pt>
                <c:pt idx="22">
                  <c:v>31.2</c:v>
                </c:pt>
                <c:pt idx="23">
                  <c:v>32</c:v>
                </c:pt>
                <c:pt idx="24">
                  <c:v>32.799999999999997</c:v>
                </c:pt>
                <c:pt idx="25">
                  <c:v>34</c:v>
                </c:pt>
                <c:pt idx="26">
                  <c:v>34.6</c:v>
                </c:pt>
                <c:pt idx="27">
                  <c:v>35.6</c:v>
                </c:pt>
                <c:pt idx="28">
                  <c:v>36.799999999999997</c:v>
                </c:pt>
                <c:pt idx="29">
                  <c:v>37.799999999999997</c:v>
                </c:pt>
                <c:pt idx="30">
                  <c:v>38.4</c:v>
                </c:pt>
                <c:pt idx="31">
                  <c:v>38.799999999999997</c:v>
                </c:pt>
                <c:pt idx="32">
                  <c:v>40</c:v>
                </c:pt>
                <c:pt idx="33">
                  <c:v>40.799999999999997</c:v>
                </c:pt>
                <c:pt idx="34">
                  <c:v>41.6</c:v>
                </c:pt>
                <c:pt idx="35">
                  <c:v>42.4</c:v>
                </c:pt>
                <c:pt idx="36">
                  <c:v>43.2</c:v>
                </c:pt>
                <c:pt idx="37">
                  <c:v>43.8</c:v>
                </c:pt>
                <c:pt idx="38">
                  <c:v>44.6</c:v>
                </c:pt>
                <c:pt idx="39">
                  <c:v>45.6</c:v>
                </c:pt>
                <c:pt idx="40">
                  <c:v>46.6</c:v>
                </c:pt>
                <c:pt idx="41">
                  <c:v>47.2</c:v>
                </c:pt>
                <c:pt idx="42">
                  <c:v>48.2</c:v>
                </c:pt>
                <c:pt idx="43">
                  <c:v>49</c:v>
                </c:pt>
                <c:pt idx="44">
                  <c:v>50</c:v>
                </c:pt>
                <c:pt idx="45">
                  <c:v>50.8</c:v>
                </c:pt>
                <c:pt idx="46">
                  <c:v>51.6</c:v>
                </c:pt>
                <c:pt idx="47">
                  <c:v>52.4</c:v>
                </c:pt>
                <c:pt idx="48">
                  <c:v>53.8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F71-6040-B777-DD3D28D2F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119807"/>
        <c:axId val="732528175"/>
      </c:scatterChart>
      <c:valAx>
        <c:axId val="732119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Extension</a:t>
                </a:r>
                <a:r>
                  <a:rPr lang="en-US" baseline="0"/>
                  <a:t>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528175"/>
        <c:crosses val="autoZero"/>
        <c:crossBetween val="midCat"/>
      </c:valAx>
      <c:valAx>
        <c:axId val="73252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</a:t>
                </a:r>
                <a:r>
                  <a:rPr lang="en-US" baseline="0"/>
                  <a:t>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119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Rubber Tubing Force</a:t>
            </a:r>
            <a:r>
              <a:rPr lang="en-US" baseline="0"/>
              <a:t> vs Extension</a:t>
            </a:r>
            <a:endParaRPr lang="en-US"/>
          </a:p>
        </c:rich>
      </c:tx>
      <c:layout>
        <c:manualLayout>
          <c:xMode val="edge"/>
          <c:yMode val="edge"/>
          <c:x val="0.4009877472632995"/>
          <c:y val="1.8832391713747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6" Extension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'Blue Bungees'!$C$4:$C$52</c:f>
              <c:numCache>
                <c:formatCode>General</c:formatCode>
                <c:ptCount val="49"/>
                <c:pt idx="0">
                  <c:v>0</c:v>
                </c:pt>
                <c:pt idx="1">
                  <c:v>6.3499999999999997E-3</c:v>
                </c:pt>
                <c:pt idx="2">
                  <c:v>1.2699999999999999E-2</c:v>
                </c:pt>
                <c:pt idx="3">
                  <c:v>1.9049999999999997E-2</c:v>
                </c:pt>
                <c:pt idx="4">
                  <c:v>2.5399999999999999E-2</c:v>
                </c:pt>
                <c:pt idx="5">
                  <c:v>3.175E-2</c:v>
                </c:pt>
                <c:pt idx="6">
                  <c:v>3.8099999999999995E-2</c:v>
                </c:pt>
                <c:pt idx="7">
                  <c:v>4.4449999999999996E-2</c:v>
                </c:pt>
                <c:pt idx="8">
                  <c:v>5.0799999999999998E-2</c:v>
                </c:pt>
                <c:pt idx="9">
                  <c:v>5.7149999999999999E-2</c:v>
                </c:pt>
                <c:pt idx="10">
                  <c:v>6.3500000000000001E-2</c:v>
                </c:pt>
                <c:pt idx="11">
                  <c:v>6.9849999999999995E-2</c:v>
                </c:pt>
                <c:pt idx="12">
                  <c:v>7.619999999999999E-2</c:v>
                </c:pt>
                <c:pt idx="13">
                  <c:v>8.2549999999999998E-2</c:v>
                </c:pt>
                <c:pt idx="14">
                  <c:v>8.8899999999999993E-2</c:v>
                </c:pt>
                <c:pt idx="15">
                  <c:v>9.5250000000000001E-2</c:v>
                </c:pt>
                <c:pt idx="16">
                  <c:v>0.1016</c:v>
                </c:pt>
                <c:pt idx="17">
                  <c:v>0.10794999999999999</c:v>
                </c:pt>
                <c:pt idx="18">
                  <c:v>0.1143</c:v>
                </c:pt>
                <c:pt idx="19">
                  <c:v>0.12064999999999999</c:v>
                </c:pt>
                <c:pt idx="20">
                  <c:v>0.127</c:v>
                </c:pt>
                <c:pt idx="21">
                  <c:v>0.13335</c:v>
                </c:pt>
                <c:pt idx="22">
                  <c:v>0.13969999999999999</c:v>
                </c:pt>
                <c:pt idx="23">
                  <c:v>0.14604999999999999</c:v>
                </c:pt>
                <c:pt idx="24">
                  <c:v>0.15239999999999998</c:v>
                </c:pt>
                <c:pt idx="25">
                  <c:v>0.15875</c:v>
                </c:pt>
                <c:pt idx="26">
                  <c:v>0.1651</c:v>
                </c:pt>
                <c:pt idx="27">
                  <c:v>0.17144999999999999</c:v>
                </c:pt>
                <c:pt idx="28">
                  <c:v>0.17779999999999999</c:v>
                </c:pt>
                <c:pt idx="29">
                  <c:v>0.18414999999999998</c:v>
                </c:pt>
                <c:pt idx="30">
                  <c:v>0.1905</c:v>
                </c:pt>
                <c:pt idx="31">
                  <c:v>0.19685</c:v>
                </c:pt>
                <c:pt idx="32">
                  <c:v>0.20319999999999999</c:v>
                </c:pt>
                <c:pt idx="33">
                  <c:v>0.20954999999999999</c:v>
                </c:pt>
                <c:pt idx="34">
                  <c:v>0.21589999999999998</c:v>
                </c:pt>
                <c:pt idx="35">
                  <c:v>0.22225</c:v>
                </c:pt>
                <c:pt idx="36">
                  <c:v>0.2286</c:v>
                </c:pt>
                <c:pt idx="37">
                  <c:v>0.23494999999999999</c:v>
                </c:pt>
                <c:pt idx="38">
                  <c:v>0.24129999999999999</c:v>
                </c:pt>
                <c:pt idx="39">
                  <c:v>0.24764999999999998</c:v>
                </c:pt>
                <c:pt idx="40">
                  <c:v>0.254</c:v>
                </c:pt>
                <c:pt idx="41">
                  <c:v>0.26034999999999997</c:v>
                </c:pt>
                <c:pt idx="42">
                  <c:v>0.26669999999999999</c:v>
                </c:pt>
                <c:pt idx="43">
                  <c:v>0.27305000000000001</c:v>
                </c:pt>
                <c:pt idx="44">
                  <c:v>0.27939999999999998</c:v>
                </c:pt>
                <c:pt idx="45">
                  <c:v>0.28575</c:v>
                </c:pt>
                <c:pt idx="46">
                  <c:v>0.29209999999999997</c:v>
                </c:pt>
                <c:pt idx="47">
                  <c:v>0.29844999999999999</c:v>
                </c:pt>
                <c:pt idx="48">
                  <c:v>0.30479999999999996</c:v>
                </c:pt>
              </c:numCache>
            </c:numRef>
          </c:xVal>
          <c:yVal>
            <c:numRef>
              <c:f>'Blue Bungees'!$N$4:$N$52</c:f>
              <c:numCache>
                <c:formatCode>General</c:formatCode>
                <c:ptCount val="49"/>
                <c:pt idx="0">
                  <c:v>0</c:v>
                </c:pt>
                <c:pt idx="1">
                  <c:v>3.4</c:v>
                </c:pt>
                <c:pt idx="2">
                  <c:v>4.5999999999999996</c:v>
                </c:pt>
                <c:pt idx="3">
                  <c:v>6.6</c:v>
                </c:pt>
                <c:pt idx="4">
                  <c:v>8.8000000000000007</c:v>
                </c:pt>
                <c:pt idx="5">
                  <c:v>9.4</c:v>
                </c:pt>
                <c:pt idx="6">
                  <c:v>11</c:v>
                </c:pt>
                <c:pt idx="7">
                  <c:v>11.8</c:v>
                </c:pt>
                <c:pt idx="8">
                  <c:v>13.4</c:v>
                </c:pt>
                <c:pt idx="9">
                  <c:v>14.8</c:v>
                </c:pt>
                <c:pt idx="10">
                  <c:v>15.6</c:v>
                </c:pt>
                <c:pt idx="11">
                  <c:v>16.399999999999999</c:v>
                </c:pt>
                <c:pt idx="12">
                  <c:v>17.399999999999999</c:v>
                </c:pt>
                <c:pt idx="13">
                  <c:v>18.2</c:v>
                </c:pt>
                <c:pt idx="14">
                  <c:v>19.2</c:v>
                </c:pt>
                <c:pt idx="15">
                  <c:v>20.6</c:v>
                </c:pt>
                <c:pt idx="16">
                  <c:v>20.6</c:v>
                </c:pt>
                <c:pt idx="17">
                  <c:v>21.6</c:v>
                </c:pt>
                <c:pt idx="18">
                  <c:v>22.8</c:v>
                </c:pt>
                <c:pt idx="19">
                  <c:v>23.4</c:v>
                </c:pt>
                <c:pt idx="20">
                  <c:v>24.2</c:v>
                </c:pt>
                <c:pt idx="21">
                  <c:v>24.8</c:v>
                </c:pt>
                <c:pt idx="22">
                  <c:v>25.6</c:v>
                </c:pt>
                <c:pt idx="23">
                  <c:v>26.4</c:v>
                </c:pt>
                <c:pt idx="24">
                  <c:v>27.2</c:v>
                </c:pt>
                <c:pt idx="25">
                  <c:v>28</c:v>
                </c:pt>
                <c:pt idx="26">
                  <c:v>28.6</c:v>
                </c:pt>
                <c:pt idx="27">
                  <c:v>29.2</c:v>
                </c:pt>
                <c:pt idx="28">
                  <c:v>30</c:v>
                </c:pt>
                <c:pt idx="29">
                  <c:v>30.8</c:v>
                </c:pt>
                <c:pt idx="30">
                  <c:v>31.4</c:v>
                </c:pt>
                <c:pt idx="31">
                  <c:v>32</c:v>
                </c:pt>
                <c:pt idx="32">
                  <c:v>32.799999999999997</c:v>
                </c:pt>
                <c:pt idx="33">
                  <c:v>33.4</c:v>
                </c:pt>
                <c:pt idx="34">
                  <c:v>34</c:v>
                </c:pt>
                <c:pt idx="35">
                  <c:v>34.6</c:v>
                </c:pt>
                <c:pt idx="36">
                  <c:v>35.4</c:v>
                </c:pt>
                <c:pt idx="37">
                  <c:v>36</c:v>
                </c:pt>
                <c:pt idx="38">
                  <c:v>37</c:v>
                </c:pt>
                <c:pt idx="39">
                  <c:v>37.4</c:v>
                </c:pt>
                <c:pt idx="40">
                  <c:v>38.4</c:v>
                </c:pt>
                <c:pt idx="41">
                  <c:v>39.4</c:v>
                </c:pt>
                <c:pt idx="42">
                  <c:v>40.200000000000003</c:v>
                </c:pt>
                <c:pt idx="43">
                  <c:v>41</c:v>
                </c:pt>
                <c:pt idx="44">
                  <c:v>42.2</c:v>
                </c:pt>
                <c:pt idx="45">
                  <c:v>42.8</c:v>
                </c:pt>
                <c:pt idx="46">
                  <c:v>43.6</c:v>
                </c:pt>
                <c:pt idx="47">
                  <c:v>44.4</c:v>
                </c:pt>
                <c:pt idx="48">
                  <c:v>45.8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BF-5F4A-B613-EDC9394A043C}"/>
            </c:ext>
          </c:extLst>
        </c:ser>
        <c:ser>
          <c:idx val="1"/>
          <c:order val="1"/>
          <c:tx>
            <c:v>6" Extension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'Blue Bungees'!$H$4:$H$52</c:f>
              <c:numCache>
                <c:formatCode>General</c:formatCode>
                <c:ptCount val="49"/>
                <c:pt idx="0">
                  <c:v>0</c:v>
                </c:pt>
                <c:pt idx="1">
                  <c:v>6.3499999999999997E-3</c:v>
                </c:pt>
                <c:pt idx="2">
                  <c:v>1.2699999999999999E-2</c:v>
                </c:pt>
                <c:pt idx="3">
                  <c:v>1.9049999999999997E-2</c:v>
                </c:pt>
                <c:pt idx="4">
                  <c:v>2.5399999999999999E-2</c:v>
                </c:pt>
                <c:pt idx="5">
                  <c:v>3.175E-2</c:v>
                </c:pt>
                <c:pt idx="6">
                  <c:v>3.8099999999999995E-2</c:v>
                </c:pt>
                <c:pt idx="7">
                  <c:v>4.4449999999999996E-2</c:v>
                </c:pt>
                <c:pt idx="8">
                  <c:v>5.0799999999999998E-2</c:v>
                </c:pt>
                <c:pt idx="9">
                  <c:v>5.7149999999999999E-2</c:v>
                </c:pt>
                <c:pt idx="10">
                  <c:v>6.3500000000000001E-2</c:v>
                </c:pt>
                <c:pt idx="11">
                  <c:v>6.9849999999999995E-2</c:v>
                </c:pt>
                <c:pt idx="12">
                  <c:v>7.619999999999999E-2</c:v>
                </c:pt>
                <c:pt idx="13">
                  <c:v>8.2549999999999998E-2</c:v>
                </c:pt>
                <c:pt idx="14">
                  <c:v>8.8899999999999993E-2</c:v>
                </c:pt>
                <c:pt idx="15">
                  <c:v>9.5250000000000001E-2</c:v>
                </c:pt>
                <c:pt idx="16">
                  <c:v>0.1016</c:v>
                </c:pt>
                <c:pt idx="17">
                  <c:v>0.10794999999999999</c:v>
                </c:pt>
                <c:pt idx="18">
                  <c:v>0.1143</c:v>
                </c:pt>
                <c:pt idx="19">
                  <c:v>0.12064999999999999</c:v>
                </c:pt>
                <c:pt idx="20">
                  <c:v>0.127</c:v>
                </c:pt>
                <c:pt idx="21">
                  <c:v>0.13335</c:v>
                </c:pt>
                <c:pt idx="22">
                  <c:v>0.13969999999999999</c:v>
                </c:pt>
                <c:pt idx="23">
                  <c:v>0.14604999999999999</c:v>
                </c:pt>
                <c:pt idx="24">
                  <c:v>0.15239999999999998</c:v>
                </c:pt>
                <c:pt idx="25">
                  <c:v>0.15875</c:v>
                </c:pt>
                <c:pt idx="26">
                  <c:v>0.1651</c:v>
                </c:pt>
                <c:pt idx="27">
                  <c:v>0.17144999999999999</c:v>
                </c:pt>
                <c:pt idx="28">
                  <c:v>0.17779999999999999</c:v>
                </c:pt>
                <c:pt idx="29">
                  <c:v>0.18414999999999998</c:v>
                </c:pt>
                <c:pt idx="30">
                  <c:v>0.1905</c:v>
                </c:pt>
                <c:pt idx="31">
                  <c:v>0.19685</c:v>
                </c:pt>
                <c:pt idx="32">
                  <c:v>0.20319999999999999</c:v>
                </c:pt>
                <c:pt idx="33">
                  <c:v>0.20954999999999999</c:v>
                </c:pt>
                <c:pt idx="34">
                  <c:v>0.21589999999999998</c:v>
                </c:pt>
                <c:pt idx="35">
                  <c:v>0.22225</c:v>
                </c:pt>
                <c:pt idx="36">
                  <c:v>0.2286</c:v>
                </c:pt>
                <c:pt idx="37">
                  <c:v>0.23494999999999999</c:v>
                </c:pt>
                <c:pt idx="38">
                  <c:v>0.24129999999999999</c:v>
                </c:pt>
                <c:pt idx="39">
                  <c:v>0.24764999999999998</c:v>
                </c:pt>
                <c:pt idx="40">
                  <c:v>0.254</c:v>
                </c:pt>
                <c:pt idx="41">
                  <c:v>0.26034999999999997</c:v>
                </c:pt>
                <c:pt idx="42">
                  <c:v>0.26669999999999999</c:v>
                </c:pt>
                <c:pt idx="43">
                  <c:v>0.27305000000000001</c:v>
                </c:pt>
                <c:pt idx="44">
                  <c:v>0.27939999999999998</c:v>
                </c:pt>
                <c:pt idx="45">
                  <c:v>0.28575</c:v>
                </c:pt>
                <c:pt idx="46">
                  <c:v>0.29209999999999997</c:v>
                </c:pt>
                <c:pt idx="47">
                  <c:v>0.29844999999999999</c:v>
                </c:pt>
                <c:pt idx="48">
                  <c:v>0.30479999999999996</c:v>
                </c:pt>
              </c:numCache>
            </c:numRef>
          </c:xVal>
          <c:yVal>
            <c:numRef>
              <c:f>'Blue Bungees'!$I$4:$I$52</c:f>
              <c:numCache>
                <c:formatCode>General</c:formatCode>
                <c:ptCount val="49"/>
                <c:pt idx="0">
                  <c:v>0</c:v>
                </c:pt>
                <c:pt idx="1">
                  <c:v>4</c:v>
                </c:pt>
                <c:pt idx="2">
                  <c:v>5.4</c:v>
                </c:pt>
                <c:pt idx="3">
                  <c:v>7</c:v>
                </c:pt>
                <c:pt idx="4">
                  <c:v>8.1999999999999993</c:v>
                </c:pt>
                <c:pt idx="5">
                  <c:v>10.199999999999999</c:v>
                </c:pt>
                <c:pt idx="6">
                  <c:v>11.4</c:v>
                </c:pt>
                <c:pt idx="7">
                  <c:v>12.4</c:v>
                </c:pt>
                <c:pt idx="8">
                  <c:v>13.8</c:v>
                </c:pt>
                <c:pt idx="9">
                  <c:v>15</c:v>
                </c:pt>
                <c:pt idx="10">
                  <c:v>15.8</c:v>
                </c:pt>
                <c:pt idx="11">
                  <c:v>17.2</c:v>
                </c:pt>
                <c:pt idx="12">
                  <c:v>17.8</c:v>
                </c:pt>
                <c:pt idx="13">
                  <c:v>18.600000000000001</c:v>
                </c:pt>
                <c:pt idx="14">
                  <c:v>19.600000000000001</c:v>
                </c:pt>
                <c:pt idx="15">
                  <c:v>20.6</c:v>
                </c:pt>
                <c:pt idx="16">
                  <c:v>21.6</c:v>
                </c:pt>
                <c:pt idx="17">
                  <c:v>22.4</c:v>
                </c:pt>
                <c:pt idx="18">
                  <c:v>23.2</c:v>
                </c:pt>
                <c:pt idx="19">
                  <c:v>24</c:v>
                </c:pt>
                <c:pt idx="20">
                  <c:v>24.8</c:v>
                </c:pt>
                <c:pt idx="21">
                  <c:v>25.6</c:v>
                </c:pt>
                <c:pt idx="22">
                  <c:v>26.2</c:v>
                </c:pt>
                <c:pt idx="23">
                  <c:v>27</c:v>
                </c:pt>
                <c:pt idx="24">
                  <c:v>27.8</c:v>
                </c:pt>
                <c:pt idx="25">
                  <c:v>28.2</c:v>
                </c:pt>
                <c:pt idx="26">
                  <c:v>29</c:v>
                </c:pt>
                <c:pt idx="27">
                  <c:v>29.6</c:v>
                </c:pt>
                <c:pt idx="28">
                  <c:v>30.2</c:v>
                </c:pt>
                <c:pt idx="29">
                  <c:v>30.8</c:v>
                </c:pt>
                <c:pt idx="30">
                  <c:v>31.6</c:v>
                </c:pt>
                <c:pt idx="31">
                  <c:v>32.200000000000003</c:v>
                </c:pt>
                <c:pt idx="32">
                  <c:v>33</c:v>
                </c:pt>
                <c:pt idx="33">
                  <c:v>33.6</c:v>
                </c:pt>
                <c:pt idx="34">
                  <c:v>34.4</c:v>
                </c:pt>
                <c:pt idx="35">
                  <c:v>35</c:v>
                </c:pt>
                <c:pt idx="36">
                  <c:v>35.799999999999997</c:v>
                </c:pt>
                <c:pt idx="37">
                  <c:v>36.6</c:v>
                </c:pt>
                <c:pt idx="38">
                  <c:v>37.6</c:v>
                </c:pt>
                <c:pt idx="39">
                  <c:v>38.4</c:v>
                </c:pt>
                <c:pt idx="40">
                  <c:v>39</c:v>
                </c:pt>
                <c:pt idx="41">
                  <c:v>40</c:v>
                </c:pt>
                <c:pt idx="42">
                  <c:v>40.799999999999997</c:v>
                </c:pt>
                <c:pt idx="43">
                  <c:v>41.4</c:v>
                </c:pt>
                <c:pt idx="44">
                  <c:v>42.6</c:v>
                </c:pt>
                <c:pt idx="45">
                  <c:v>43.4</c:v>
                </c:pt>
                <c:pt idx="46">
                  <c:v>44.2</c:v>
                </c:pt>
                <c:pt idx="47">
                  <c:v>45</c:v>
                </c:pt>
                <c:pt idx="48">
                  <c:v>46.2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BF-5F4A-B613-EDC9394A043C}"/>
            </c:ext>
          </c:extLst>
        </c:ser>
        <c:ser>
          <c:idx val="2"/>
          <c:order val="2"/>
          <c:tx>
            <c:v>6" Extension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'Blue Bungees'!$M$4:$M$52</c:f>
              <c:numCache>
                <c:formatCode>General</c:formatCode>
                <c:ptCount val="49"/>
                <c:pt idx="0">
                  <c:v>0</c:v>
                </c:pt>
                <c:pt idx="1">
                  <c:v>6.3499999999999997E-3</c:v>
                </c:pt>
                <c:pt idx="2">
                  <c:v>1.2699999999999999E-2</c:v>
                </c:pt>
                <c:pt idx="3">
                  <c:v>1.9049999999999997E-2</c:v>
                </c:pt>
                <c:pt idx="4">
                  <c:v>2.5399999999999999E-2</c:v>
                </c:pt>
                <c:pt idx="5">
                  <c:v>3.175E-2</c:v>
                </c:pt>
                <c:pt idx="6">
                  <c:v>3.8099999999999995E-2</c:v>
                </c:pt>
                <c:pt idx="7">
                  <c:v>4.4449999999999996E-2</c:v>
                </c:pt>
                <c:pt idx="8">
                  <c:v>5.0799999999999998E-2</c:v>
                </c:pt>
                <c:pt idx="9">
                  <c:v>5.7149999999999999E-2</c:v>
                </c:pt>
                <c:pt idx="10">
                  <c:v>6.3500000000000001E-2</c:v>
                </c:pt>
                <c:pt idx="11">
                  <c:v>6.9849999999999995E-2</c:v>
                </c:pt>
                <c:pt idx="12">
                  <c:v>7.619999999999999E-2</c:v>
                </c:pt>
                <c:pt idx="13">
                  <c:v>8.2549999999999998E-2</c:v>
                </c:pt>
                <c:pt idx="14">
                  <c:v>8.8899999999999993E-2</c:v>
                </c:pt>
                <c:pt idx="15">
                  <c:v>9.5250000000000001E-2</c:v>
                </c:pt>
                <c:pt idx="16">
                  <c:v>0.1016</c:v>
                </c:pt>
                <c:pt idx="17">
                  <c:v>0.10794999999999999</c:v>
                </c:pt>
                <c:pt idx="18">
                  <c:v>0.1143</c:v>
                </c:pt>
                <c:pt idx="19">
                  <c:v>0.12064999999999999</c:v>
                </c:pt>
                <c:pt idx="20">
                  <c:v>0.127</c:v>
                </c:pt>
                <c:pt idx="21">
                  <c:v>0.13335</c:v>
                </c:pt>
                <c:pt idx="22">
                  <c:v>0.13969999999999999</c:v>
                </c:pt>
                <c:pt idx="23">
                  <c:v>0.14604999999999999</c:v>
                </c:pt>
                <c:pt idx="24">
                  <c:v>0.15239999999999998</c:v>
                </c:pt>
                <c:pt idx="25">
                  <c:v>0.15875</c:v>
                </c:pt>
                <c:pt idx="26">
                  <c:v>0.1651</c:v>
                </c:pt>
                <c:pt idx="27">
                  <c:v>0.17144999999999999</c:v>
                </c:pt>
                <c:pt idx="28">
                  <c:v>0.17779999999999999</c:v>
                </c:pt>
                <c:pt idx="29">
                  <c:v>0.18414999999999998</c:v>
                </c:pt>
                <c:pt idx="30">
                  <c:v>0.1905</c:v>
                </c:pt>
                <c:pt idx="31">
                  <c:v>0.19685</c:v>
                </c:pt>
                <c:pt idx="32">
                  <c:v>0.20319999999999999</c:v>
                </c:pt>
                <c:pt idx="33">
                  <c:v>0.20954999999999999</c:v>
                </c:pt>
                <c:pt idx="34">
                  <c:v>0.21589999999999998</c:v>
                </c:pt>
                <c:pt idx="35">
                  <c:v>0.22225</c:v>
                </c:pt>
                <c:pt idx="36">
                  <c:v>0.2286</c:v>
                </c:pt>
                <c:pt idx="37">
                  <c:v>0.23494999999999999</c:v>
                </c:pt>
                <c:pt idx="38">
                  <c:v>0.24129999999999999</c:v>
                </c:pt>
                <c:pt idx="39">
                  <c:v>0.24764999999999998</c:v>
                </c:pt>
                <c:pt idx="40">
                  <c:v>0.254</c:v>
                </c:pt>
                <c:pt idx="41">
                  <c:v>0.26034999999999997</c:v>
                </c:pt>
                <c:pt idx="42">
                  <c:v>0.26669999999999999</c:v>
                </c:pt>
                <c:pt idx="43">
                  <c:v>0.27305000000000001</c:v>
                </c:pt>
                <c:pt idx="44">
                  <c:v>0.27939999999999998</c:v>
                </c:pt>
                <c:pt idx="45">
                  <c:v>0.28575</c:v>
                </c:pt>
                <c:pt idx="46">
                  <c:v>0.29209999999999997</c:v>
                </c:pt>
                <c:pt idx="47">
                  <c:v>0.29844999999999999</c:v>
                </c:pt>
                <c:pt idx="48">
                  <c:v>0.30479999999999996</c:v>
                </c:pt>
              </c:numCache>
            </c:numRef>
          </c:xVal>
          <c:yVal>
            <c:numRef>
              <c:f>'Blue Bungees'!$N$4:$N$52</c:f>
              <c:numCache>
                <c:formatCode>General</c:formatCode>
                <c:ptCount val="49"/>
                <c:pt idx="0">
                  <c:v>0</c:v>
                </c:pt>
                <c:pt idx="1">
                  <c:v>3.4</c:v>
                </c:pt>
                <c:pt idx="2">
                  <c:v>4.5999999999999996</c:v>
                </c:pt>
                <c:pt idx="3">
                  <c:v>6.6</c:v>
                </c:pt>
                <c:pt idx="4">
                  <c:v>8.8000000000000007</c:v>
                </c:pt>
                <c:pt idx="5">
                  <c:v>9.4</c:v>
                </c:pt>
                <c:pt idx="6">
                  <c:v>11</c:v>
                </c:pt>
                <c:pt idx="7">
                  <c:v>11.8</c:v>
                </c:pt>
                <c:pt idx="8">
                  <c:v>13.4</c:v>
                </c:pt>
                <c:pt idx="9">
                  <c:v>14.8</c:v>
                </c:pt>
                <c:pt idx="10">
                  <c:v>15.6</c:v>
                </c:pt>
                <c:pt idx="11">
                  <c:v>16.399999999999999</c:v>
                </c:pt>
                <c:pt idx="12">
                  <c:v>17.399999999999999</c:v>
                </c:pt>
                <c:pt idx="13">
                  <c:v>18.2</c:v>
                </c:pt>
                <c:pt idx="14">
                  <c:v>19.2</c:v>
                </c:pt>
                <c:pt idx="15">
                  <c:v>20.6</c:v>
                </c:pt>
                <c:pt idx="16">
                  <c:v>20.6</c:v>
                </c:pt>
                <c:pt idx="17">
                  <c:v>21.6</c:v>
                </c:pt>
                <c:pt idx="18">
                  <c:v>22.8</c:v>
                </c:pt>
                <c:pt idx="19">
                  <c:v>23.4</c:v>
                </c:pt>
                <c:pt idx="20">
                  <c:v>24.2</c:v>
                </c:pt>
                <c:pt idx="21">
                  <c:v>24.8</c:v>
                </c:pt>
                <c:pt idx="22">
                  <c:v>25.6</c:v>
                </c:pt>
                <c:pt idx="23">
                  <c:v>26.4</c:v>
                </c:pt>
                <c:pt idx="24">
                  <c:v>27.2</c:v>
                </c:pt>
                <c:pt idx="25">
                  <c:v>28</c:v>
                </c:pt>
                <c:pt idx="26">
                  <c:v>28.6</c:v>
                </c:pt>
                <c:pt idx="27">
                  <c:v>29.2</c:v>
                </c:pt>
                <c:pt idx="28">
                  <c:v>30</c:v>
                </c:pt>
                <c:pt idx="29">
                  <c:v>30.8</c:v>
                </c:pt>
                <c:pt idx="30">
                  <c:v>31.4</c:v>
                </c:pt>
                <c:pt idx="31">
                  <c:v>32</c:v>
                </c:pt>
                <c:pt idx="32">
                  <c:v>32.799999999999997</c:v>
                </c:pt>
                <c:pt idx="33">
                  <c:v>33.4</c:v>
                </c:pt>
                <c:pt idx="34">
                  <c:v>34</c:v>
                </c:pt>
                <c:pt idx="35">
                  <c:v>34.6</c:v>
                </c:pt>
                <c:pt idx="36">
                  <c:v>35.4</c:v>
                </c:pt>
                <c:pt idx="37">
                  <c:v>36</c:v>
                </c:pt>
                <c:pt idx="38">
                  <c:v>37</c:v>
                </c:pt>
                <c:pt idx="39">
                  <c:v>37.4</c:v>
                </c:pt>
                <c:pt idx="40">
                  <c:v>38.4</c:v>
                </c:pt>
                <c:pt idx="41">
                  <c:v>39.4</c:v>
                </c:pt>
                <c:pt idx="42">
                  <c:v>40.200000000000003</c:v>
                </c:pt>
                <c:pt idx="43">
                  <c:v>41</c:v>
                </c:pt>
                <c:pt idx="44">
                  <c:v>42.2</c:v>
                </c:pt>
                <c:pt idx="45">
                  <c:v>42.8</c:v>
                </c:pt>
                <c:pt idx="46">
                  <c:v>43.6</c:v>
                </c:pt>
                <c:pt idx="47">
                  <c:v>44.4</c:v>
                </c:pt>
                <c:pt idx="48">
                  <c:v>45.8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BF-5F4A-B613-EDC9394A043C}"/>
            </c:ext>
          </c:extLst>
        </c:ser>
        <c:ser>
          <c:idx val="3"/>
          <c:order val="3"/>
          <c:tx>
            <c:v>12" Extension 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'Blue Bungees'!$S$4:$S$52</c:f>
              <c:numCache>
                <c:formatCode>General</c:formatCode>
                <c:ptCount val="49"/>
                <c:pt idx="0">
                  <c:v>0</c:v>
                </c:pt>
                <c:pt idx="1">
                  <c:v>1.2699999999999999E-2</c:v>
                </c:pt>
                <c:pt idx="2">
                  <c:v>2.5399999999999999E-2</c:v>
                </c:pt>
                <c:pt idx="3">
                  <c:v>3.8099999999999995E-2</c:v>
                </c:pt>
                <c:pt idx="4">
                  <c:v>5.0799999999999998E-2</c:v>
                </c:pt>
                <c:pt idx="5">
                  <c:v>6.3500000000000001E-2</c:v>
                </c:pt>
                <c:pt idx="6">
                  <c:v>7.619999999999999E-2</c:v>
                </c:pt>
                <c:pt idx="7">
                  <c:v>8.8899999999999993E-2</c:v>
                </c:pt>
                <c:pt idx="8">
                  <c:v>0.1016</c:v>
                </c:pt>
                <c:pt idx="9">
                  <c:v>0.1143</c:v>
                </c:pt>
                <c:pt idx="10">
                  <c:v>0.127</c:v>
                </c:pt>
                <c:pt idx="11">
                  <c:v>0.13969999999999999</c:v>
                </c:pt>
                <c:pt idx="12">
                  <c:v>0.15239999999999998</c:v>
                </c:pt>
                <c:pt idx="13">
                  <c:v>0.1651</c:v>
                </c:pt>
                <c:pt idx="14">
                  <c:v>0.17779999999999999</c:v>
                </c:pt>
                <c:pt idx="15">
                  <c:v>0.1905</c:v>
                </c:pt>
                <c:pt idx="16">
                  <c:v>0.20319999999999999</c:v>
                </c:pt>
                <c:pt idx="17">
                  <c:v>0.21589999999999998</c:v>
                </c:pt>
                <c:pt idx="18">
                  <c:v>0.2286</c:v>
                </c:pt>
                <c:pt idx="19">
                  <c:v>0.24129999999999999</c:v>
                </c:pt>
                <c:pt idx="20">
                  <c:v>0.254</c:v>
                </c:pt>
                <c:pt idx="21">
                  <c:v>0.26669999999999999</c:v>
                </c:pt>
                <c:pt idx="22">
                  <c:v>0.27939999999999998</c:v>
                </c:pt>
                <c:pt idx="23">
                  <c:v>0.29209999999999997</c:v>
                </c:pt>
                <c:pt idx="24">
                  <c:v>0.30479999999999996</c:v>
                </c:pt>
                <c:pt idx="25">
                  <c:v>0.3175</c:v>
                </c:pt>
                <c:pt idx="26">
                  <c:v>0.33019999999999999</c:v>
                </c:pt>
                <c:pt idx="27">
                  <c:v>0.34289999999999998</c:v>
                </c:pt>
                <c:pt idx="28">
                  <c:v>0.35559999999999997</c:v>
                </c:pt>
                <c:pt idx="29">
                  <c:v>0.36829999999999996</c:v>
                </c:pt>
                <c:pt idx="30">
                  <c:v>0.38100000000000001</c:v>
                </c:pt>
                <c:pt idx="31">
                  <c:v>0.39369999999999999</c:v>
                </c:pt>
                <c:pt idx="32">
                  <c:v>0.40639999999999998</c:v>
                </c:pt>
                <c:pt idx="33">
                  <c:v>0.41909999999999997</c:v>
                </c:pt>
                <c:pt idx="34">
                  <c:v>0.43179999999999996</c:v>
                </c:pt>
                <c:pt idx="35">
                  <c:v>0.44450000000000001</c:v>
                </c:pt>
                <c:pt idx="36">
                  <c:v>0.4572</c:v>
                </c:pt>
                <c:pt idx="37">
                  <c:v>0.46989999999999998</c:v>
                </c:pt>
                <c:pt idx="38">
                  <c:v>0.48259999999999997</c:v>
                </c:pt>
                <c:pt idx="39">
                  <c:v>0.49529999999999996</c:v>
                </c:pt>
                <c:pt idx="40">
                  <c:v>0.50800000000000001</c:v>
                </c:pt>
                <c:pt idx="41">
                  <c:v>0.52069999999999994</c:v>
                </c:pt>
                <c:pt idx="42">
                  <c:v>0.53339999999999999</c:v>
                </c:pt>
                <c:pt idx="43">
                  <c:v>0.54610000000000003</c:v>
                </c:pt>
                <c:pt idx="44">
                  <c:v>0.55879999999999996</c:v>
                </c:pt>
                <c:pt idx="45">
                  <c:v>0.57150000000000001</c:v>
                </c:pt>
                <c:pt idx="46">
                  <c:v>0.58419999999999994</c:v>
                </c:pt>
                <c:pt idx="47">
                  <c:v>0.59689999999999999</c:v>
                </c:pt>
                <c:pt idx="48">
                  <c:v>0.60959999999999992</c:v>
                </c:pt>
              </c:numCache>
            </c:numRef>
          </c:xVal>
          <c:yVal>
            <c:numRef>
              <c:f>'Blue Bungees'!$T$4:$T$52</c:f>
              <c:numCache>
                <c:formatCode>General</c:formatCode>
                <c:ptCount val="49"/>
                <c:pt idx="0">
                  <c:v>0</c:v>
                </c:pt>
                <c:pt idx="1">
                  <c:v>3.6</c:v>
                </c:pt>
                <c:pt idx="2">
                  <c:v>6</c:v>
                </c:pt>
                <c:pt idx="3">
                  <c:v>8.6</c:v>
                </c:pt>
                <c:pt idx="4">
                  <c:v>10.6</c:v>
                </c:pt>
                <c:pt idx="5">
                  <c:v>12.4</c:v>
                </c:pt>
                <c:pt idx="6">
                  <c:v>14.2</c:v>
                </c:pt>
                <c:pt idx="7">
                  <c:v>15.6</c:v>
                </c:pt>
                <c:pt idx="8">
                  <c:v>17</c:v>
                </c:pt>
                <c:pt idx="9">
                  <c:v>18.2</c:v>
                </c:pt>
                <c:pt idx="10">
                  <c:v>19.2</c:v>
                </c:pt>
                <c:pt idx="11">
                  <c:v>20.399999999999999</c:v>
                </c:pt>
                <c:pt idx="12">
                  <c:v>21.4</c:v>
                </c:pt>
                <c:pt idx="13">
                  <c:v>22</c:v>
                </c:pt>
                <c:pt idx="14">
                  <c:v>23</c:v>
                </c:pt>
                <c:pt idx="15">
                  <c:v>24.2</c:v>
                </c:pt>
                <c:pt idx="16">
                  <c:v>25.2</c:v>
                </c:pt>
                <c:pt idx="17">
                  <c:v>26</c:v>
                </c:pt>
                <c:pt idx="18">
                  <c:v>26.8</c:v>
                </c:pt>
                <c:pt idx="19">
                  <c:v>27.8</c:v>
                </c:pt>
                <c:pt idx="20">
                  <c:v>28.4</c:v>
                </c:pt>
                <c:pt idx="21">
                  <c:v>29.4</c:v>
                </c:pt>
                <c:pt idx="22">
                  <c:v>30.2</c:v>
                </c:pt>
                <c:pt idx="23">
                  <c:v>30.8</c:v>
                </c:pt>
                <c:pt idx="24">
                  <c:v>31.6</c:v>
                </c:pt>
                <c:pt idx="25">
                  <c:v>32.4</c:v>
                </c:pt>
                <c:pt idx="26">
                  <c:v>33</c:v>
                </c:pt>
                <c:pt idx="27">
                  <c:v>33.6</c:v>
                </c:pt>
                <c:pt idx="28">
                  <c:v>34.200000000000003</c:v>
                </c:pt>
                <c:pt idx="29">
                  <c:v>35</c:v>
                </c:pt>
                <c:pt idx="30">
                  <c:v>35.799999999999997</c:v>
                </c:pt>
                <c:pt idx="31">
                  <c:v>36.4</c:v>
                </c:pt>
                <c:pt idx="32">
                  <c:v>37</c:v>
                </c:pt>
                <c:pt idx="33">
                  <c:v>38</c:v>
                </c:pt>
                <c:pt idx="34">
                  <c:v>38.4</c:v>
                </c:pt>
                <c:pt idx="35">
                  <c:v>39.4</c:v>
                </c:pt>
                <c:pt idx="36">
                  <c:v>39.799999999999997</c:v>
                </c:pt>
                <c:pt idx="37">
                  <c:v>40.6</c:v>
                </c:pt>
                <c:pt idx="38">
                  <c:v>41.4</c:v>
                </c:pt>
                <c:pt idx="39">
                  <c:v>42</c:v>
                </c:pt>
                <c:pt idx="40">
                  <c:v>42.6</c:v>
                </c:pt>
                <c:pt idx="41">
                  <c:v>43.4</c:v>
                </c:pt>
                <c:pt idx="42">
                  <c:v>44</c:v>
                </c:pt>
                <c:pt idx="43">
                  <c:v>45</c:v>
                </c:pt>
                <c:pt idx="44">
                  <c:v>45.4</c:v>
                </c:pt>
                <c:pt idx="45">
                  <c:v>46</c:v>
                </c:pt>
                <c:pt idx="46">
                  <c:v>47</c:v>
                </c:pt>
                <c:pt idx="47">
                  <c:v>47.6</c:v>
                </c:pt>
                <c:pt idx="48">
                  <c:v>48.2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1BF-5F4A-B613-EDC9394A043C}"/>
            </c:ext>
          </c:extLst>
        </c:ser>
        <c:ser>
          <c:idx val="4"/>
          <c:order val="4"/>
          <c:tx>
            <c:v>12" Extension 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'Blue Bungees'!$X$4:$X$52</c:f>
              <c:numCache>
                <c:formatCode>General</c:formatCode>
                <c:ptCount val="49"/>
                <c:pt idx="0">
                  <c:v>0</c:v>
                </c:pt>
                <c:pt idx="1">
                  <c:v>1.2699999999999999E-2</c:v>
                </c:pt>
                <c:pt idx="2">
                  <c:v>2.5399999999999999E-2</c:v>
                </c:pt>
                <c:pt idx="3">
                  <c:v>3.8099999999999995E-2</c:v>
                </c:pt>
                <c:pt idx="4">
                  <c:v>5.0799999999999998E-2</c:v>
                </c:pt>
                <c:pt idx="5">
                  <c:v>6.3500000000000001E-2</c:v>
                </c:pt>
                <c:pt idx="6">
                  <c:v>7.619999999999999E-2</c:v>
                </c:pt>
                <c:pt idx="7">
                  <c:v>8.8899999999999993E-2</c:v>
                </c:pt>
                <c:pt idx="8">
                  <c:v>0.1016</c:v>
                </c:pt>
                <c:pt idx="9">
                  <c:v>0.1143</c:v>
                </c:pt>
                <c:pt idx="10">
                  <c:v>0.127</c:v>
                </c:pt>
                <c:pt idx="11">
                  <c:v>0.13969999999999999</c:v>
                </c:pt>
                <c:pt idx="12">
                  <c:v>0.15239999999999998</c:v>
                </c:pt>
                <c:pt idx="13">
                  <c:v>0.1651</c:v>
                </c:pt>
                <c:pt idx="14">
                  <c:v>0.17779999999999999</c:v>
                </c:pt>
                <c:pt idx="15">
                  <c:v>0.1905</c:v>
                </c:pt>
                <c:pt idx="16">
                  <c:v>0.20319999999999999</c:v>
                </c:pt>
                <c:pt idx="17">
                  <c:v>0.21589999999999998</c:v>
                </c:pt>
                <c:pt idx="18">
                  <c:v>0.2286</c:v>
                </c:pt>
                <c:pt idx="19">
                  <c:v>0.24129999999999999</c:v>
                </c:pt>
                <c:pt idx="20">
                  <c:v>0.254</c:v>
                </c:pt>
                <c:pt idx="21">
                  <c:v>0.26669999999999999</c:v>
                </c:pt>
                <c:pt idx="22">
                  <c:v>0.27939999999999998</c:v>
                </c:pt>
                <c:pt idx="23">
                  <c:v>0.29209999999999997</c:v>
                </c:pt>
                <c:pt idx="24">
                  <c:v>0.30479999999999996</c:v>
                </c:pt>
                <c:pt idx="25">
                  <c:v>0.3175</c:v>
                </c:pt>
                <c:pt idx="26">
                  <c:v>0.33019999999999999</c:v>
                </c:pt>
                <c:pt idx="27">
                  <c:v>0.34289999999999998</c:v>
                </c:pt>
                <c:pt idx="28">
                  <c:v>0.35559999999999997</c:v>
                </c:pt>
                <c:pt idx="29">
                  <c:v>0.36829999999999996</c:v>
                </c:pt>
                <c:pt idx="30">
                  <c:v>0.38100000000000001</c:v>
                </c:pt>
                <c:pt idx="31">
                  <c:v>0.39369999999999999</c:v>
                </c:pt>
                <c:pt idx="32">
                  <c:v>0.40639999999999998</c:v>
                </c:pt>
                <c:pt idx="33">
                  <c:v>0.41909999999999997</c:v>
                </c:pt>
                <c:pt idx="34">
                  <c:v>0.43179999999999996</c:v>
                </c:pt>
                <c:pt idx="35">
                  <c:v>0.44450000000000001</c:v>
                </c:pt>
                <c:pt idx="36">
                  <c:v>0.4572</c:v>
                </c:pt>
                <c:pt idx="37">
                  <c:v>0.46989999999999998</c:v>
                </c:pt>
                <c:pt idx="38">
                  <c:v>0.48259999999999997</c:v>
                </c:pt>
                <c:pt idx="39">
                  <c:v>0.49529999999999996</c:v>
                </c:pt>
                <c:pt idx="40">
                  <c:v>0.50800000000000001</c:v>
                </c:pt>
                <c:pt idx="41">
                  <c:v>0.52069999999999994</c:v>
                </c:pt>
                <c:pt idx="42">
                  <c:v>0.53339999999999999</c:v>
                </c:pt>
                <c:pt idx="43">
                  <c:v>0.54610000000000003</c:v>
                </c:pt>
                <c:pt idx="44">
                  <c:v>0.55879999999999996</c:v>
                </c:pt>
                <c:pt idx="45">
                  <c:v>0.57150000000000001</c:v>
                </c:pt>
                <c:pt idx="46">
                  <c:v>0.58419999999999994</c:v>
                </c:pt>
                <c:pt idx="47">
                  <c:v>0.59689999999999999</c:v>
                </c:pt>
                <c:pt idx="48">
                  <c:v>0.60959999999999992</c:v>
                </c:pt>
              </c:numCache>
            </c:numRef>
          </c:xVal>
          <c:yVal>
            <c:numRef>
              <c:f>'Blue Bungees'!$Y$4:$Y$52</c:f>
              <c:numCache>
                <c:formatCode>General</c:formatCode>
                <c:ptCount val="49"/>
                <c:pt idx="0">
                  <c:v>0</c:v>
                </c:pt>
                <c:pt idx="1">
                  <c:v>3</c:v>
                </c:pt>
                <c:pt idx="2">
                  <c:v>5.2</c:v>
                </c:pt>
                <c:pt idx="3">
                  <c:v>7.8</c:v>
                </c:pt>
                <c:pt idx="4">
                  <c:v>9.1999999999999993</c:v>
                </c:pt>
                <c:pt idx="5">
                  <c:v>10</c:v>
                </c:pt>
                <c:pt idx="6">
                  <c:v>12</c:v>
                </c:pt>
                <c:pt idx="7">
                  <c:v>13</c:v>
                </c:pt>
                <c:pt idx="8">
                  <c:v>14.2</c:v>
                </c:pt>
                <c:pt idx="9">
                  <c:v>15.4</c:v>
                </c:pt>
                <c:pt idx="10">
                  <c:v>16.600000000000001</c:v>
                </c:pt>
                <c:pt idx="11">
                  <c:v>17.600000000000001</c:v>
                </c:pt>
                <c:pt idx="12">
                  <c:v>18.600000000000001</c:v>
                </c:pt>
                <c:pt idx="13">
                  <c:v>19</c:v>
                </c:pt>
                <c:pt idx="14">
                  <c:v>19.600000000000001</c:v>
                </c:pt>
                <c:pt idx="15">
                  <c:v>20.399999999999999</c:v>
                </c:pt>
                <c:pt idx="16">
                  <c:v>21.2</c:v>
                </c:pt>
                <c:pt idx="17">
                  <c:v>22.2</c:v>
                </c:pt>
                <c:pt idx="18">
                  <c:v>22.8</c:v>
                </c:pt>
                <c:pt idx="19">
                  <c:v>23.8</c:v>
                </c:pt>
                <c:pt idx="20">
                  <c:v>24.4</c:v>
                </c:pt>
                <c:pt idx="21">
                  <c:v>25.2</c:v>
                </c:pt>
                <c:pt idx="22">
                  <c:v>25.8</c:v>
                </c:pt>
                <c:pt idx="23">
                  <c:v>26.6</c:v>
                </c:pt>
                <c:pt idx="24">
                  <c:v>27.2</c:v>
                </c:pt>
                <c:pt idx="25">
                  <c:v>28.6</c:v>
                </c:pt>
                <c:pt idx="26">
                  <c:v>29.4</c:v>
                </c:pt>
                <c:pt idx="27">
                  <c:v>30</c:v>
                </c:pt>
                <c:pt idx="28">
                  <c:v>30.6</c:v>
                </c:pt>
                <c:pt idx="29">
                  <c:v>31.4</c:v>
                </c:pt>
                <c:pt idx="30">
                  <c:v>32</c:v>
                </c:pt>
                <c:pt idx="31">
                  <c:v>32.6</c:v>
                </c:pt>
                <c:pt idx="32">
                  <c:v>33.4</c:v>
                </c:pt>
                <c:pt idx="33">
                  <c:v>34.200000000000003</c:v>
                </c:pt>
                <c:pt idx="34">
                  <c:v>35</c:v>
                </c:pt>
                <c:pt idx="35">
                  <c:v>35.6</c:v>
                </c:pt>
                <c:pt idx="36">
                  <c:v>36.200000000000003</c:v>
                </c:pt>
                <c:pt idx="37">
                  <c:v>37</c:v>
                </c:pt>
                <c:pt idx="38">
                  <c:v>37.799999999999997</c:v>
                </c:pt>
                <c:pt idx="39">
                  <c:v>38.6</c:v>
                </c:pt>
                <c:pt idx="40">
                  <c:v>39.4</c:v>
                </c:pt>
                <c:pt idx="41">
                  <c:v>40.200000000000003</c:v>
                </c:pt>
                <c:pt idx="42">
                  <c:v>41</c:v>
                </c:pt>
                <c:pt idx="43">
                  <c:v>41.8</c:v>
                </c:pt>
                <c:pt idx="44">
                  <c:v>42.6</c:v>
                </c:pt>
                <c:pt idx="45">
                  <c:v>43.4</c:v>
                </c:pt>
                <c:pt idx="46">
                  <c:v>44.6</c:v>
                </c:pt>
                <c:pt idx="47">
                  <c:v>46.6</c:v>
                </c:pt>
                <c:pt idx="48">
                  <c:v>46.4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1BF-5F4A-B613-EDC9394A043C}"/>
            </c:ext>
          </c:extLst>
        </c:ser>
        <c:ser>
          <c:idx val="5"/>
          <c:order val="5"/>
          <c:tx>
            <c:v>12" Extension 3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'Blue Bungees'!$AC$4:$AC$52</c:f>
              <c:numCache>
                <c:formatCode>General</c:formatCode>
                <c:ptCount val="49"/>
                <c:pt idx="0">
                  <c:v>0</c:v>
                </c:pt>
                <c:pt idx="1">
                  <c:v>1.2699999999999999E-2</c:v>
                </c:pt>
                <c:pt idx="2">
                  <c:v>2.5399999999999999E-2</c:v>
                </c:pt>
                <c:pt idx="3">
                  <c:v>3.8099999999999995E-2</c:v>
                </c:pt>
                <c:pt idx="4">
                  <c:v>5.0799999999999998E-2</c:v>
                </c:pt>
                <c:pt idx="5">
                  <c:v>6.3500000000000001E-2</c:v>
                </c:pt>
                <c:pt idx="6">
                  <c:v>7.619999999999999E-2</c:v>
                </c:pt>
                <c:pt idx="7">
                  <c:v>8.8899999999999993E-2</c:v>
                </c:pt>
                <c:pt idx="8">
                  <c:v>0.1016</c:v>
                </c:pt>
                <c:pt idx="9">
                  <c:v>0.1143</c:v>
                </c:pt>
                <c:pt idx="10">
                  <c:v>0.127</c:v>
                </c:pt>
                <c:pt idx="11">
                  <c:v>0.13969999999999999</c:v>
                </c:pt>
                <c:pt idx="12">
                  <c:v>0.15239999999999998</c:v>
                </c:pt>
                <c:pt idx="13">
                  <c:v>0.1651</c:v>
                </c:pt>
                <c:pt idx="14">
                  <c:v>0.17779999999999999</c:v>
                </c:pt>
                <c:pt idx="15">
                  <c:v>0.1905</c:v>
                </c:pt>
                <c:pt idx="16">
                  <c:v>0.20319999999999999</c:v>
                </c:pt>
                <c:pt idx="17">
                  <c:v>0.21589999999999998</c:v>
                </c:pt>
                <c:pt idx="18">
                  <c:v>0.2286</c:v>
                </c:pt>
                <c:pt idx="19">
                  <c:v>0.24129999999999999</c:v>
                </c:pt>
                <c:pt idx="20">
                  <c:v>0.254</c:v>
                </c:pt>
                <c:pt idx="21">
                  <c:v>0.26669999999999999</c:v>
                </c:pt>
                <c:pt idx="22">
                  <c:v>0.27939999999999998</c:v>
                </c:pt>
                <c:pt idx="23">
                  <c:v>0.29209999999999997</c:v>
                </c:pt>
                <c:pt idx="24">
                  <c:v>0.30479999999999996</c:v>
                </c:pt>
                <c:pt idx="25">
                  <c:v>0.3175</c:v>
                </c:pt>
                <c:pt idx="26">
                  <c:v>0.33019999999999999</c:v>
                </c:pt>
                <c:pt idx="27">
                  <c:v>0.34289999999999998</c:v>
                </c:pt>
                <c:pt idx="28">
                  <c:v>0.35559999999999997</c:v>
                </c:pt>
                <c:pt idx="29">
                  <c:v>0.36829999999999996</c:v>
                </c:pt>
                <c:pt idx="30">
                  <c:v>0.38100000000000001</c:v>
                </c:pt>
                <c:pt idx="31">
                  <c:v>0.39369999999999999</c:v>
                </c:pt>
                <c:pt idx="32">
                  <c:v>0.40639999999999998</c:v>
                </c:pt>
                <c:pt idx="33">
                  <c:v>0.41909999999999997</c:v>
                </c:pt>
                <c:pt idx="34">
                  <c:v>0.43179999999999996</c:v>
                </c:pt>
                <c:pt idx="35">
                  <c:v>0.44450000000000001</c:v>
                </c:pt>
                <c:pt idx="36">
                  <c:v>0.4572</c:v>
                </c:pt>
                <c:pt idx="37">
                  <c:v>0.46989999999999998</c:v>
                </c:pt>
                <c:pt idx="38">
                  <c:v>0.48259999999999997</c:v>
                </c:pt>
                <c:pt idx="39">
                  <c:v>0.49529999999999996</c:v>
                </c:pt>
                <c:pt idx="40">
                  <c:v>0.50800000000000001</c:v>
                </c:pt>
                <c:pt idx="41">
                  <c:v>0.52069999999999994</c:v>
                </c:pt>
                <c:pt idx="42">
                  <c:v>0.53339999999999999</c:v>
                </c:pt>
                <c:pt idx="43">
                  <c:v>0.54610000000000003</c:v>
                </c:pt>
                <c:pt idx="44">
                  <c:v>0.55879999999999996</c:v>
                </c:pt>
                <c:pt idx="45">
                  <c:v>0.57150000000000001</c:v>
                </c:pt>
                <c:pt idx="46">
                  <c:v>0.58419999999999994</c:v>
                </c:pt>
                <c:pt idx="47">
                  <c:v>0.59689999999999999</c:v>
                </c:pt>
                <c:pt idx="48">
                  <c:v>0.60959999999999992</c:v>
                </c:pt>
              </c:numCache>
            </c:numRef>
          </c:xVal>
          <c:yVal>
            <c:numRef>
              <c:f>'Blue Bungees'!$AD$4:$AD$52</c:f>
              <c:numCache>
                <c:formatCode>General</c:formatCode>
                <c:ptCount val="49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6.8</c:v>
                </c:pt>
                <c:pt idx="4">
                  <c:v>8.8000000000000007</c:v>
                </c:pt>
                <c:pt idx="5">
                  <c:v>10.4</c:v>
                </c:pt>
                <c:pt idx="6">
                  <c:v>11.8</c:v>
                </c:pt>
                <c:pt idx="7">
                  <c:v>13</c:v>
                </c:pt>
                <c:pt idx="8">
                  <c:v>14.2</c:v>
                </c:pt>
                <c:pt idx="9">
                  <c:v>15.4</c:v>
                </c:pt>
                <c:pt idx="10">
                  <c:v>16.600000000000001</c:v>
                </c:pt>
                <c:pt idx="11">
                  <c:v>17.600000000000001</c:v>
                </c:pt>
                <c:pt idx="12">
                  <c:v>18.399999999999999</c:v>
                </c:pt>
                <c:pt idx="13">
                  <c:v>19.600000000000001</c:v>
                </c:pt>
                <c:pt idx="14">
                  <c:v>20.399999999999999</c:v>
                </c:pt>
                <c:pt idx="15">
                  <c:v>21.4</c:v>
                </c:pt>
                <c:pt idx="16">
                  <c:v>22.2</c:v>
                </c:pt>
                <c:pt idx="17">
                  <c:v>22.8</c:v>
                </c:pt>
                <c:pt idx="18">
                  <c:v>23.8</c:v>
                </c:pt>
                <c:pt idx="19">
                  <c:v>24.2</c:v>
                </c:pt>
                <c:pt idx="20">
                  <c:v>25</c:v>
                </c:pt>
                <c:pt idx="21">
                  <c:v>25.8</c:v>
                </c:pt>
                <c:pt idx="22">
                  <c:v>26.4</c:v>
                </c:pt>
                <c:pt idx="23">
                  <c:v>27</c:v>
                </c:pt>
                <c:pt idx="24">
                  <c:v>27.8</c:v>
                </c:pt>
                <c:pt idx="25">
                  <c:v>28.4</c:v>
                </c:pt>
                <c:pt idx="26">
                  <c:v>29</c:v>
                </c:pt>
                <c:pt idx="27">
                  <c:v>29.8</c:v>
                </c:pt>
                <c:pt idx="28">
                  <c:v>30.4</c:v>
                </c:pt>
                <c:pt idx="29">
                  <c:v>31.2</c:v>
                </c:pt>
                <c:pt idx="30">
                  <c:v>31.6</c:v>
                </c:pt>
                <c:pt idx="31">
                  <c:v>32.4</c:v>
                </c:pt>
                <c:pt idx="32">
                  <c:v>33</c:v>
                </c:pt>
                <c:pt idx="33">
                  <c:v>33.799999999999997</c:v>
                </c:pt>
                <c:pt idx="34">
                  <c:v>34.4</c:v>
                </c:pt>
                <c:pt idx="35">
                  <c:v>35.4</c:v>
                </c:pt>
                <c:pt idx="36">
                  <c:v>36</c:v>
                </c:pt>
                <c:pt idx="37">
                  <c:v>36.799999999999997</c:v>
                </c:pt>
                <c:pt idx="38">
                  <c:v>37.4</c:v>
                </c:pt>
                <c:pt idx="39">
                  <c:v>38</c:v>
                </c:pt>
                <c:pt idx="40">
                  <c:v>39</c:v>
                </c:pt>
                <c:pt idx="41">
                  <c:v>39.6</c:v>
                </c:pt>
                <c:pt idx="42">
                  <c:v>40.6</c:v>
                </c:pt>
                <c:pt idx="43">
                  <c:v>41.4</c:v>
                </c:pt>
                <c:pt idx="44">
                  <c:v>42.4</c:v>
                </c:pt>
                <c:pt idx="45">
                  <c:v>43.6</c:v>
                </c:pt>
                <c:pt idx="46">
                  <c:v>44.4</c:v>
                </c:pt>
                <c:pt idx="47">
                  <c:v>45.2</c:v>
                </c:pt>
                <c:pt idx="48">
                  <c:v>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1BF-5F4A-B613-EDC9394A0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059455"/>
        <c:axId val="2081956800"/>
      </c:scatterChart>
      <c:valAx>
        <c:axId val="83605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Length</a:t>
                </a:r>
                <a:r>
                  <a:rPr lang="en-US" sz="1200" baseline="0"/>
                  <a:t>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956800"/>
        <c:crosses val="autoZero"/>
        <c:crossBetween val="midCat"/>
      </c:valAx>
      <c:valAx>
        <c:axId val="208195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Force</a:t>
                </a:r>
                <a:r>
                  <a:rPr lang="en-US" sz="1200" baseline="0"/>
                  <a:t> (N)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059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6" Extension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'Tan Bungees'!$C$4:$C$52</c:f>
              <c:numCache>
                <c:formatCode>General</c:formatCode>
                <c:ptCount val="49"/>
                <c:pt idx="0">
                  <c:v>0</c:v>
                </c:pt>
                <c:pt idx="1">
                  <c:v>6.3499999999999997E-3</c:v>
                </c:pt>
                <c:pt idx="2">
                  <c:v>1.2699999999999999E-2</c:v>
                </c:pt>
                <c:pt idx="3">
                  <c:v>1.9049999999999997E-2</c:v>
                </c:pt>
                <c:pt idx="4">
                  <c:v>2.5399999999999999E-2</c:v>
                </c:pt>
                <c:pt idx="5">
                  <c:v>3.175E-2</c:v>
                </c:pt>
                <c:pt idx="6">
                  <c:v>3.8099999999999995E-2</c:v>
                </c:pt>
                <c:pt idx="7">
                  <c:v>4.4449999999999996E-2</c:v>
                </c:pt>
                <c:pt idx="8">
                  <c:v>5.0799999999999998E-2</c:v>
                </c:pt>
                <c:pt idx="9">
                  <c:v>5.7149999999999999E-2</c:v>
                </c:pt>
                <c:pt idx="10">
                  <c:v>6.3500000000000001E-2</c:v>
                </c:pt>
                <c:pt idx="11">
                  <c:v>6.9849999999999995E-2</c:v>
                </c:pt>
                <c:pt idx="12">
                  <c:v>7.619999999999999E-2</c:v>
                </c:pt>
                <c:pt idx="13">
                  <c:v>8.2549999999999998E-2</c:v>
                </c:pt>
                <c:pt idx="14">
                  <c:v>8.8899999999999993E-2</c:v>
                </c:pt>
                <c:pt idx="15">
                  <c:v>9.5250000000000001E-2</c:v>
                </c:pt>
                <c:pt idx="16">
                  <c:v>0.1016</c:v>
                </c:pt>
                <c:pt idx="17">
                  <c:v>0.10794999999999999</c:v>
                </c:pt>
                <c:pt idx="18">
                  <c:v>0.1143</c:v>
                </c:pt>
                <c:pt idx="19">
                  <c:v>0.12064999999999999</c:v>
                </c:pt>
                <c:pt idx="20">
                  <c:v>0.127</c:v>
                </c:pt>
                <c:pt idx="21">
                  <c:v>0.13335</c:v>
                </c:pt>
                <c:pt idx="22">
                  <c:v>0.13969999999999999</c:v>
                </c:pt>
                <c:pt idx="23">
                  <c:v>0.14604999999999999</c:v>
                </c:pt>
                <c:pt idx="24">
                  <c:v>0.15239999999999998</c:v>
                </c:pt>
                <c:pt idx="25">
                  <c:v>0.15875</c:v>
                </c:pt>
                <c:pt idx="26">
                  <c:v>0.1651</c:v>
                </c:pt>
                <c:pt idx="27">
                  <c:v>0.17144999999999999</c:v>
                </c:pt>
                <c:pt idx="28">
                  <c:v>0.17779999999999999</c:v>
                </c:pt>
                <c:pt idx="29">
                  <c:v>0.18414999999999998</c:v>
                </c:pt>
                <c:pt idx="30">
                  <c:v>0.1905</c:v>
                </c:pt>
                <c:pt idx="31">
                  <c:v>0.19685</c:v>
                </c:pt>
                <c:pt idx="32">
                  <c:v>0.20319999999999999</c:v>
                </c:pt>
                <c:pt idx="33">
                  <c:v>0.20954999999999999</c:v>
                </c:pt>
                <c:pt idx="34">
                  <c:v>0.21589999999999998</c:v>
                </c:pt>
                <c:pt idx="35">
                  <c:v>0.22225</c:v>
                </c:pt>
                <c:pt idx="36">
                  <c:v>0.2286</c:v>
                </c:pt>
                <c:pt idx="37">
                  <c:v>0.23494999999999999</c:v>
                </c:pt>
                <c:pt idx="38">
                  <c:v>0.24129999999999999</c:v>
                </c:pt>
                <c:pt idx="39">
                  <c:v>0.24764999999999998</c:v>
                </c:pt>
                <c:pt idx="40">
                  <c:v>0.254</c:v>
                </c:pt>
                <c:pt idx="41">
                  <c:v>0.26034999999999997</c:v>
                </c:pt>
                <c:pt idx="42">
                  <c:v>0.26669999999999999</c:v>
                </c:pt>
                <c:pt idx="43">
                  <c:v>0.27305000000000001</c:v>
                </c:pt>
                <c:pt idx="44">
                  <c:v>0.27939999999999998</c:v>
                </c:pt>
                <c:pt idx="45">
                  <c:v>0.28575</c:v>
                </c:pt>
                <c:pt idx="46">
                  <c:v>0.29209999999999997</c:v>
                </c:pt>
                <c:pt idx="47">
                  <c:v>0.29844999999999999</c:v>
                </c:pt>
                <c:pt idx="48">
                  <c:v>0.30479999999999996</c:v>
                </c:pt>
              </c:numCache>
            </c:numRef>
          </c:xVal>
          <c:yVal>
            <c:numRef>
              <c:f>'Tan Bungees'!$D$4:$D$52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1.8</c:v>
                </c:pt>
                <c:pt idx="3">
                  <c:v>2</c:v>
                </c:pt>
                <c:pt idx="4">
                  <c:v>3</c:v>
                </c:pt>
                <c:pt idx="5">
                  <c:v>3.2</c:v>
                </c:pt>
                <c:pt idx="6">
                  <c:v>4</c:v>
                </c:pt>
                <c:pt idx="7">
                  <c:v>4.5999999999999996</c:v>
                </c:pt>
                <c:pt idx="8">
                  <c:v>4.8</c:v>
                </c:pt>
                <c:pt idx="9">
                  <c:v>5.6</c:v>
                </c:pt>
                <c:pt idx="10">
                  <c:v>5.8</c:v>
                </c:pt>
                <c:pt idx="11">
                  <c:v>6.2</c:v>
                </c:pt>
                <c:pt idx="12">
                  <c:v>6.6</c:v>
                </c:pt>
                <c:pt idx="13">
                  <c:v>7</c:v>
                </c:pt>
                <c:pt idx="14">
                  <c:v>7.4</c:v>
                </c:pt>
                <c:pt idx="15">
                  <c:v>8</c:v>
                </c:pt>
                <c:pt idx="16">
                  <c:v>8.4</c:v>
                </c:pt>
                <c:pt idx="17">
                  <c:v>8.6</c:v>
                </c:pt>
                <c:pt idx="18">
                  <c:v>9.1999999999999993</c:v>
                </c:pt>
                <c:pt idx="19">
                  <c:v>9.4</c:v>
                </c:pt>
                <c:pt idx="20">
                  <c:v>9.8000000000000007</c:v>
                </c:pt>
                <c:pt idx="21">
                  <c:v>10.199999999999999</c:v>
                </c:pt>
                <c:pt idx="22">
                  <c:v>10.4</c:v>
                </c:pt>
                <c:pt idx="23">
                  <c:v>10.8</c:v>
                </c:pt>
                <c:pt idx="24">
                  <c:v>10.8</c:v>
                </c:pt>
                <c:pt idx="25">
                  <c:v>11.4</c:v>
                </c:pt>
                <c:pt idx="26">
                  <c:v>11.6</c:v>
                </c:pt>
                <c:pt idx="27">
                  <c:v>11.8</c:v>
                </c:pt>
                <c:pt idx="28">
                  <c:v>12.2</c:v>
                </c:pt>
                <c:pt idx="29">
                  <c:v>12.4</c:v>
                </c:pt>
                <c:pt idx="30">
                  <c:v>12.8</c:v>
                </c:pt>
                <c:pt idx="31">
                  <c:v>13</c:v>
                </c:pt>
                <c:pt idx="32">
                  <c:v>13.2</c:v>
                </c:pt>
                <c:pt idx="33">
                  <c:v>13.6</c:v>
                </c:pt>
                <c:pt idx="34">
                  <c:v>14</c:v>
                </c:pt>
                <c:pt idx="35">
                  <c:v>14.2</c:v>
                </c:pt>
                <c:pt idx="36">
                  <c:v>14.6</c:v>
                </c:pt>
                <c:pt idx="37">
                  <c:v>15</c:v>
                </c:pt>
                <c:pt idx="38">
                  <c:v>15.2</c:v>
                </c:pt>
                <c:pt idx="39">
                  <c:v>15.6</c:v>
                </c:pt>
                <c:pt idx="40">
                  <c:v>15.8</c:v>
                </c:pt>
                <c:pt idx="41">
                  <c:v>16.2</c:v>
                </c:pt>
                <c:pt idx="42">
                  <c:v>16.399999999999999</c:v>
                </c:pt>
                <c:pt idx="43">
                  <c:v>16.8</c:v>
                </c:pt>
                <c:pt idx="44">
                  <c:v>17.2</c:v>
                </c:pt>
                <c:pt idx="45">
                  <c:v>17.600000000000001</c:v>
                </c:pt>
                <c:pt idx="46">
                  <c:v>18</c:v>
                </c:pt>
                <c:pt idx="47">
                  <c:v>18.2</c:v>
                </c:pt>
                <c:pt idx="48">
                  <c:v>18.600000000000001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03-714F-88E1-6E03B0A11202}"/>
            </c:ext>
          </c:extLst>
        </c:ser>
        <c:ser>
          <c:idx val="1"/>
          <c:order val="1"/>
          <c:tx>
            <c:v>6" Extension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'Tan Bungees'!$H$4:$H$52</c:f>
              <c:numCache>
                <c:formatCode>General</c:formatCode>
                <c:ptCount val="49"/>
                <c:pt idx="0">
                  <c:v>0</c:v>
                </c:pt>
                <c:pt idx="1">
                  <c:v>6.3499999999999997E-3</c:v>
                </c:pt>
                <c:pt idx="2">
                  <c:v>1.2699999999999999E-2</c:v>
                </c:pt>
                <c:pt idx="3">
                  <c:v>1.9049999999999997E-2</c:v>
                </c:pt>
                <c:pt idx="4">
                  <c:v>2.5399999999999999E-2</c:v>
                </c:pt>
                <c:pt idx="5">
                  <c:v>3.175E-2</c:v>
                </c:pt>
                <c:pt idx="6">
                  <c:v>3.8099999999999995E-2</c:v>
                </c:pt>
                <c:pt idx="7">
                  <c:v>4.4449999999999996E-2</c:v>
                </c:pt>
                <c:pt idx="8">
                  <c:v>5.0799999999999998E-2</c:v>
                </c:pt>
                <c:pt idx="9">
                  <c:v>5.7149999999999999E-2</c:v>
                </c:pt>
                <c:pt idx="10">
                  <c:v>6.3500000000000001E-2</c:v>
                </c:pt>
                <c:pt idx="11">
                  <c:v>6.9849999999999995E-2</c:v>
                </c:pt>
                <c:pt idx="12">
                  <c:v>7.619999999999999E-2</c:v>
                </c:pt>
                <c:pt idx="13">
                  <c:v>8.2549999999999998E-2</c:v>
                </c:pt>
                <c:pt idx="14">
                  <c:v>8.8899999999999993E-2</c:v>
                </c:pt>
                <c:pt idx="15">
                  <c:v>9.5250000000000001E-2</c:v>
                </c:pt>
                <c:pt idx="16">
                  <c:v>0.1016</c:v>
                </c:pt>
                <c:pt idx="17">
                  <c:v>0.10794999999999999</c:v>
                </c:pt>
                <c:pt idx="18">
                  <c:v>0.1143</c:v>
                </c:pt>
                <c:pt idx="19">
                  <c:v>0.12064999999999999</c:v>
                </c:pt>
                <c:pt idx="20">
                  <c:v>0.127</c:v>
                </c:pt>
                <c:pt idx="21">
                  <c:v>0.13335</c:v>
                </c:pt>
                <c:pt idx="22">
                  <c:v>0.13969999999999999</c:v>
                </c:pt>
                <c:pt idx="23">
                  <c:v>0.14604999999999999</c:v>
                </c:pt>
                <c:pt idx="24">
                  <c:v>0.15239999999999998</c:v>
                </c:pt>
                <c:pt idx="25">
                  <c:v>0.15875</c:v>
                </c:pt>
                <c:pt idx="26">
                  <c:v>0.1651</c:v>
                </c:pt>
                <c:pt idx="27">
                  <c:v>0.17144999999999999</c:v>
                </c:pt>
                <c:pt idx="28">
                  <c:v>0.17779999999999999</c:v>
                </c:pt>
                <c:pt idx="29">
                  <c:v>0.18414999999999998</c:v>
                </c:pt>
                <c:pt idx="30">
                  <c:v>0.1905</c:v>
                </c:pt>
                <c:pt idx="31">
                  <c:v>0.19685</c:v>
                </c:pt>
                <c:pt idx="32">
                  <c:v>0.20319999999999999</c:v>
                </c:pt>
                <c:pt idx="33">
                  <c:v>0.20954999999999999</c:v>
                </c:pt>
                <c:pt idx="34">
                  <c:v>0.21589999999999998</c:v>
                </c:pt>
                <c:pt idx="35">
                  <c:v>0.22225</c:v>
                </c:pt>
                <c:pt idx="36">
                  <c:v>0.2286</c:v>
                </c:pt>
                <c:pt idx="37">
                  <c:v>0.23494999999999999</c:v>
                </c:pt>
                <c:pt idx="38">
                  <c:v>0.24129999999999999</c:v>
                </c:pt>
                <c:pt idx="39">
                  <c:v>0.24764999999999998</c:v>
                </c:pt>
                <c:pt idx="40">
                  <c:v>0.254</c:v>
                </c:pt>
                <c:pt idx="41">
                  <c:v>0.26034999999999997</c:v>
                </c:pt>
                <c:pt idx="42">
                  <c:v>0.26669999999999999</c:v>
                </c:pt>
                <c:pt idx="43">
                  <c:v>0.27305000000000001</c:v>
                </c:pt>
                <c:pt idx="44">
                  <c:v>0.27939999999999998</c:v>
                </c:pt>
                <c:pt idx="45">
                  <c:v>0.28575</c:v>
                </c:pt>
                <c:pt idx="46">
                  <c:v>0.29209999999999997</c:v>
                </c:pt>
                <c:pt idx="47">
                  <c:v>0.29844999999999999</c:v>
                </c:pt>
                <c:pt idx="48">
                  <c:v>0.30479999999999996</c:v>
                </c:pt>
              </c:numCache>
            </c:numRef>
          </c:xVal>
          <c:yVal>
            <c:numRef>
              <c:f>'Tan Bungees'!$I$4:$I$52</c:f>
              <c:numCache>
                <c:formatCode>General</c:formatCode>
                <c:ptCount val="49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</c:v>
                </c:pt>
                <c:pt idx="8">
                  <c:v>4.5999999999999996</c:v>
                </c:pt>
                <c:pt idx="9">
                  <c:v>4.8</c:v>
                </c:pt>
                <c:pt idx="10">
                  <c:v>5.4</c:v>
                </c:pt>
                <c:pt idx="11">
                  <c:v>5.8</c:v>
                </c:pt>
                <c:pt idx="12">
                  <c:v>6</c:v>
                </c:pt>
                <c:pt idx="13">
                  <c:v>6.6</c:v>
                </c:pt>
                <c:pt idx="14">
                  <c:v>6.8</c:v>
                </c:pt>
                <c:pt idx="15">
                  <c:v>7</c:v>
                </c:pt>
                <c:pt idx="16">
                  <c:v>7.4</c:v>
                </c:pt>
                <c:pt idx="17">
                  <c:v>7.8</c:v>
                </c:pt>
                <c:pt idx="18">
                  <c:v>8.1999999999999993</c:v>
                </c:pt>
                <c:pt idx="19">
                  <c:v>8.4</c:v>
                </c:pt>
                <c:pt idx="20">
                  <c:v>8.6</c:v>
                </c:pt>
                <c:pt idx="21">
                  <c:v>8.8000000000000007</c:v>
                </c:pt>
                <c:pt idx="22">
                  <c:v>9.4</c:v>
                </c:pt>
                <c:pt idx="23">
                  <c:v>9.6</c:v>
                </c:pt>
                <c:pt idx="24">
                  <c:v>9.8000000000000007</c:v>
                </c:pt>
                <c:pt idx="25">
                  <c:v>10.199999999999999</c:v>
                </c:pt>
                <c:pt idx="26">
                  <c:v>10.4</c:v>
                </c:pt>
                <c:pt idx="27">
                  <c:v>10.6</c:v>
                </c:pt>
                <c:pt idx="28">
                  <c:v>11</c:v>
                </c:pt>
                <c:pt idx="29">
                  <c:v>11.2</c:v>
                </c:pt>
                <c:pt idx="30">
                  <c:v>11.4</c:v>
                </c:pt>
                <c:pt idx="31">
                  <c:v>11.6</c:v>
                </c:pt>
                <c:pt idx="32">
                  <c:v>12</c:v>
                </c:pt>
                <c:pt idx="33">
                  <c:v>12.4</c:v>
                </c:pt>
                <c:pt idx="34">
                  <c:v>12.8</c:v>
                </c:pt>
                <c:pt idx="35">
                  <c:v>13</c:v>
                </c:pt>
                <c:pt idx="36">
                  <c:v>13.2</c:v>
                </c:pt>
                <c:pt idx="37">
                  <c:v>13.8</c:v>
                </c:pt>
                <c:pt idx="38">
                  <c:v>14</c:v>
                </c:pt>
                <c:pt idx="39">
                  <c:v>14.4</c:v>
                </c:pt>
                <c:pt idx="40">
                  <c:v>14.8</c:v>
                </c:pt>
                <c:pt idx="41">
                  <c:v>15.2</c:v>
                </c:pt>
                <c:pt idx="42">
                  <c:v>15.4</c:v>
                </c:pt>
                <c:pt idx="43">
                  <c:v>15.8</c:v>
                </c:pt>
                <c:pt idx="44">
                  <c:v>16.2</c:v>
                </c:pt>
                <c:pt idx="45">
                  <c:v>16.600000000000001</c:v>
                </c:pt>
                <c:pt idx="46">
                  <c:v>17</c:v>
                </c:pt>
                <c:pt idx="47">
                  <c:v>17.399999999999999</c:v>
                </c:pt>
                <c:pt idx="48">
                  <c:v>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03-714F-88E1-6E03B0A11202}"/>
            </c:ext>
          </c:extLst>
        </c:ser>
        <c:ser>
          <c:idx val="2"/>
          <c:order val="2"/>
          <c:tx>
            <c:v>6" Extension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'Tan Bungees'!$M$4:$M$52</c:f>
              <c:numCache>
                <c:formatCode>General</c:formatCode>
                <c:ptCount val="49"/>
                <c:pt idx="0">
                  <c:v>0</c:v>
                </c:pt>
                <c:pt idx="1">
                  <c:v>6.3499999999999997E-3</c:v>
                </c:pt>
                <c:pt idx="2">
                  <c:v>1.2699999999999999E-2</c:v>
                </c:pt>
                <c:pt idx="3">
                  <c:v>1.9049999999999997E-2</c:v>
                </c:pt>
                <c:pt idx="4">
                  <c:v>2.5399999999999999E-2</c:v>
                </c:pt>
                <c:pt idx="5">
                  <c:v>3.175E-2</c:v>
                </c:pt>
                <c:pt idx="6">
                  <c:v>3.8099999999999995E-2</c:v>
                </c:pt>
                <c:pt idx="7">
                  <c:v>4.4449999999999996E-2</c:v>
                </c:pt>
                <c:pt idx="8">
                  <c:v>5.0799999999999998E-2</c:v>
                </c:pt>
                <c:pt idx="9">
                  <c:v>5.7149999999999999E-2</c:v>
                </c:pt>
                <c:pt idx="10">
                  <c:v>6.3500000000000001E-2</c:v>
                </c:pt>
                <c:pt idx="11">
                  <c:v>6.9849999999999995E-2</c:v>
                </c:pt>
                <c:pt idx="12">
                  <c:v>7.619999999999999E-2</c:v>
                </c:pt>
                <c:pt idx="13">
                  <c:v>8.2549999999999998E-2</c:v>
                </c:pt>
                <c:pt idx="14">
                  <c:v>8.8899999999999993E-2</c:v>
                </c:pt>
                <c:pt idx="15">
                  <c:v>9.5250000000000001E-2</c:v>
                </c:pt>
                <c:pt idx="16">
                  <c:v>0.1016</c:v>
                </c:pt>
                <c:pt idx="17">
                  <c:v>0.10794999999999999</c:v>
                </c:pt>
                <c:pt idx="18">
                  <c:v>0.1143</c:v>
                </c:pt>
                <c:pt idx="19">
                  <c:v>0.12064999999999999</c:v>
                </c:pt>
                <c:pt idx="20">
                  <c:v>0.127</c:v>
                </c:pt>
                <c:pt idx="21">
                  <c:v>0.13335</c:v>
                </c:pt>
                <c:pt idx="22">
                  <c:v>0.13969999999999999</c:v>
                </c:pt>
                <c:pt idx="23">
                  <c:v>0.14604999999999999</c:v>
                </c:pt>
                <c:pt idx="24">
                  <c:v>0.15239999999999998</c:v>
                </c:pt>
                <c:pt idx="25">
                  <c:v>0.15875</c:v>
                </c:pt>
                <c:pt idx="26">
                  <c:v>0.1651</c:v>
                </c:pt>
                <c:pt idx="27">
                  <c:v>0.17144999999999999</c:v>
                </c:pt>
                <c:pt idx="28">
                  <c:v>0.17779999999999999</c:v>
                </c:pt>
                <c:pt idx="29">
                  <c:v>0.18414999999999998</c:v>
                </c:pt>
                <c:pt idx="30">
                  <c:v>0.1905</c:v>
                </c:pt>
                <c:pt idx="31">
                  <c:v>0.19685</c:v>
                </c:pt>
                <c:pt idx="32">
                  <c:v>0.20319999999999999</c:v>
                </c:pt>
                <c:pt idx="33">
                  <c:v>0.20954999999999999</c:v>
                </c:pt>
                <c:pt idx="34">
                  <c:v>0.21589999999999998</c:v>
                </c:pt>
                <c:pt idx="35">
                  <c:v>0.22225</c:v>
                </c:pt>
                <c:pt idx="36">
                  <c:v>0.2286</c:v>
                </c:pt>
                <c:pt idx="37">
                  <c:v>0.23494999999999999</c:v>
                </c:pt>
                <c:pt idx="38">
                  <c:v>0.24129999999999999</c:v>
                </c:pt>
                <c:pt idx="39">
                  <c:v>0.24764999999999998</c:v>
                </c:pt>
                <c:pt idx="40">
                  <c:v>0.254</c:v>
                </c:pt>
                <c:pt idx="41">
                  <c:v>0.26034999999999997</c:v>
                </c:pt>
                <c:pt idx="42">
                  <c:v>0.26669999999999999</c:v>
                </c:pt>
                <c:pt idx="43">
                  <c:v>0.27305000000000001</c:v>
                </c:pt>
                <c:pt idx="44">
                  <c:v>0.27939999999999998</c:v>
                </c:pt>
                <c:pt idx="45">
                  <c:v>0.28575</c:v>
                </c:pt>
                <c:pt idx="46">
                  <c:v>0.29209999999999997</c:v>
                </c:pt>
                <c:pt idx="47">
                  <c:v>0.29844999999999999</c:v>
                </c:pt>
                <c:pt idx="48">
                  <c:v>0.30479999999999996</c:v>
                </c:pt>
              </c:numCache>
            </c:numRef>
          </c:xVal>
          <c:yVal>
            <c:numRef>
              <c:f>'Tan Bungees'!$N$4:$N$52</c:f>
              <c:numCache>
                <c:formatCode>General</c:formatCode>
                <c:ptCount val="49"/>
                <c:pt idx="0">
                  <c:v>0</c:v>
                </c:pt>
                <c:pt idx="1">
                  <c:v>0.6</c:v>
                </c:pt>
                <c:pt idx="2">
                  <c:v>0.8</c:v>
                </c:pt>
                <c:pt idx="3">
                  <c:v>1.8</c:v>
                </c:pt>
                <c:pt idx="4">
                  <c:v>2.2000000000000002</c:v>
                </c:pt>
                <c:pt idx="5">
                  <c:v>2.8</c:v>
                </c:pt>
                <c:pt idx="6">
                  <c:v>3.6</c:v>
                </c:pt>
                <c:pt idx="7">
                  <c:v>4</c:v>
                </c:pt>
                <c:pt idx="8">
                  <c:v>4.4000000000000004</c:v>
                </c:pt>
                <c:pt idx="9">
                  <c:v>5</c:v>
                </c:pt>
                <c:pt idx="10">
                  <c:v>5.4</c:v>
                </c:pt>
                <c:pt idx="11">
                  <c:v>5.8</c:v>
                </c:pt>
                <c:pt idx="12">
                  <c:v>6</c:v>
                </c:pt>
                <c:pt idx="13">
                  <c:v>6.4</c:v>
                </c:pt>
                <c:pt idx="14">
                  <c:v>6.8</c:v>
                </c:pt>
                <c:pt idx="15">
                  <c:v>7</c:v>
                </c:pt>
                <c:pt idx="16">
                  <c:v>7.2</c:v>
                </c:pt>
                <c:pt idx="17">
                  <c:v>7.6</c:v>
                </c:pt>
                <c:pt idx="18">
                  <c:v>8</c:v>
                </c:pt>
                <c:pt idx="19">
                  <c:v>8.4</c:v>
                </c:pt>
                <c:pt idx="20">
                  <c:v>8.6</c:v>
                </c:pt>
                <c:pt idx="21">
                  <c:v>8.8000000000000007</c:v>
                </c:pt>
                <c:pt idx="22">
                  <c:v>9.1999999999999993</c:v>
                </c:pt>
                <c:pt idx="23">
                  <c:v>9.6</c:v>
                </c:pt>
                <c:pt idx="24">
                  <c:v>9.8000000000000007</c:v>
                </c:pt>
                <c:pt idx="25">
                  <c:v>9.8000000000000007</c:v>
                </c:pt>
                <c:pt idx="26">
                  <c:v>10.199999999999999</c:v>
                </c:pt>
                <c:pt idx="27">
                  <c:v>10.6</c:v>
                </c:pt>
                <c:pt idx="28">
                  <c:v>10.8</c:v>
                </c:pt>
                <c:pt idx="29">
                  <c:v>11</c:v>
                </c:pt>
                <c:pt idx="30">
                  <c:v>11.2</c:v>
                </c:pt>
                <c:pt idx="31">
                  <c:v>11.6</c:v>
                </c:pt>
                <c:pt idx="32">
                  <c:v>12</c:v>
                </c:pt>
                <c:pt idx="33">
                  <c:v>12.2</c:v>
                </c:pt>
                <c:pt idx="34">
                  <c:v>12.6</c:v>
                </c:pt>
                <c:pt idx="35">
                  <c:v>12.8</c:v>
                </c:pt>
                <c:pt idx="36">
                  <c:v>13.2</c:v>
                </c:pt>
                <c:pt idx="37">
                  <c:v>13.4</c:v>
                </c:pt>
                <c:pt idx="38">
                  <c:v>13.8</c:v>
                </c:pt>
                <c:pt idx="39">
                  <c:v>14</c:v>
                </c:pt>
                <c:pt idx="40">
                  <c:v>14.4</c:v>
                </c:pt>
                <c:pt idx="41">
                  <c:v>14.8</c:v>
                </c:pt>
                <c:pt idx="42">
                  <c:v>15.2</c:v>
                </c:pt>
                <c:pt idx="43">
                  <c:v>15.4</c:v>
                </c:pt>
                <c:pt idx="44">
                  <c:v>15.8</c:v>
                </c:pt>
                <c:pt idx="45">
                  <c:v>16.2</c:v>
                </c:pt>
                <c:pt idx="46">
                  <c:v>16.600000000000001</c:v>
                </c:pt>
                <c:pt idx="47">
                  <c:v>17</c:v>
                </c:pt>
                <c:pt idx="48">
                  <c:v>17.399999999999999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03-714F-88E1-6E03B0A11202}"/>
            </c:ext>
          </c:extLst>
        </c:ser>
        <c:ser>
          <c:idx val="3"/>
          <c:order val="3"/>
          <c:tx>
            <c:v>"12"" Extension 1"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'Tan Bungees'!$T$4:$T$52</c:f>
              <c:numCache>
                <c:formatCode>General</c:formatCode>
                <c:ptCount val="49"/>
                <c:pt idx="0">
                  <c:v>0</c:v>
                </c:pt>
                <c:pt idx="1">
                  <c:v>1.2699999999999999E-2</c:v>
                </c:pt>
                <c:pt idx="2">
                  <c:v>2.5399999999999999E-2</c:v>
                </c:pt>
                <c:pt idx="3">
                  <c:v>3.8099999999999995E-2</c:v>
                </c:pt>
                <c:pt idx="4">
                  <c:v>5.0799999999999998E-2</c:v>
                </c:pt>
                <c:pt idx="5">
                  <c:v>6.3500000000000001E-2</c:v>
                </c:pt>
                <c:pt idx="6">
                  <c:v>7.619999999999999E-2</c:v>
                </c:pt>
                <c:pt idx="7">
                  <c:v>8.8899999999999993E-2</c:v>
                </c:pt>
                <c:pt idx="8">
                  <c:v>0.1016</c:v>
                </c:pt>
                <c:pt idx="9">
                  <c:v>0.1143</c:v>
                </c:pt>
                <c:pt idx="10">
                  <c:v>0.127</c:v>
                </c:pt>
                <c:pt idx="11">
                  <c:v>0.13969999999999999</c:v>
                </c:pt>
                <c:pt idx="12">
                  <c:v>0.15239999999999998</c:v>
                </c:pt>
                <c:pt idx="13">
                  <c:v>0.1651</c:v>
                </c:pt>
                <c:pt idx="14">
                  <c:v>0.17779999999999999</c:v>
                </c:pt>
                <c:pt idx="15">
                  <c:v>0.1905</c:v>
                </c:pt>
                <c:pt idx="16">
                  <c:v>0.20319999999999999</c:v>
                </c:pt>
                <c:pt idx="17">
                  <c:v>0.21589999999999998</c:v>
                </c:pt>
                <c:pt idx="18">
                  <c:v>0.2286</c:v>
                </c:pt>
                <c:pt idx="19">
                  <c:v>0.24129999999999999</c:v>
                </c:pt>
                <c:pt idx="20">
                  <c:v>0.254</c:v>
                </c:pt>
                <c:pt idx="21">
                  <c:v>0.26669999999999999</c:v>
                </c:pt>
                <c:pt idx="22">
                  <c:v>0.27939999999999998</c:v>
                </c:pt>
                <c:pt idx="23">
                  <c:v>0.29209999999999997</c:v>
                </c:pt>
                <c:pt idx="24">
                  <c:v>0.30479999999999996</c:v>
                </c:pt>
                <c:pt idx="25">
                  <c:v>0.3175</c:v>
                </c:pt>
                <c:pt idx="26">
                  <c:v>0.33019999999999999</c:v>
                </c:pt>
                <c:pt idx="27">
                  <c:v>0.34289999999999998</c:v>
                </c:pt>
                <c:pt idx="28">
                  <c:v>0.35559999999999997</c:v>
                </c:pt>
                <c:pt idx="29">
                  <c:v>0.36829999999999996</c:v>
                </c:pt>
                <c:pt idx="30">
                  <c:v>0.38100000000000001</c:v>
                </c:pt>
                <c:pt idx="31">
                  <c:v>0.39369999999999999</c:v>
                </c:pt>
                <c:pt idx="32">
                  <c:v>0.40639999999999998</c:v>
                </c:pt>
                <c:pt idx="33">
                  <c:v>0.41909999999999997</c:v>
                </c:pt>
                <c:pt idx="34">
                  <c:v>0.43179999999999996</c:v>
                </c:pt>
                <c:pt idx="35">
                  <c:v>0.44450000000000001</c:v>
                </c:pt>
                <c:pt idx="36">
                  <c:v>0.4572</c:v>
                </c:pt>
                <c:pt idx="37">
                  <c:v>0.46989999999999998</c:v>
                </c:pt>
                <c:pt idx="38">
                  <c:v>0.48259999999999997</c:v>
                </c:pt>
                <c:pt idx="39">
                  <c:v>0.49529999999999996</c:v>
                </c:pt>
                <c:pt idx="40">
                  <c:v>0.50800000000000001</c:v>
                </c:pt>
                <c:pt idx="41">
                  <c:v>0.52069999999999994</c:v>
                </c:pt>
                <c:pt idx="42">
                  <c:v>0.53339999999999999</c:v>
                </c:pt>
                <c:pt idx="43">
                  <c:v>0.54610000000000003</c:v>
                </c:pt>
                <c:pt idx="44">
                  <c:v>0.55879999999999996</c:v>
                </c:pt>
                <c:pt idx="45">
                  <c:v>0.57150000000000001</c:v>
                </c:pt>
                <c:pt idx="46">
                  <c:v>0.58419999999999994</c:v>
                </c:pt>
                <c:pt idx="47">
                  <c:v>0.59689999999999999</c:v>
                </c:pt>
                <c:pt idx="48">
                  <c:v>0.60959999999999992</c:v>
                </c:pt>
              </c:numCache>
            </c:numRef>
          </c:xVal>
          <c:yVal>
            <c:numRef>
              <c:f>'Tan Bungees'!$U$4:$U$52</c:f>
              <c:numCache>
                <c:formatCode>General</c:formatCode>
                <c:ptCount val="49"/>
                <c:pt idx="0">
                  <c:v>0</c:v>
                </c:pt>
                <c:pt idx="1">
                  <c:v>0.8</c:v>
                </c:pt>
                <c:pt idx="2">
                  <c:v>1.4</c:v>
                </c:pt>
                <c:pt idx="3">
                  <c:v>2.4</c:v>
                </c:pt>
                <c:pt idx="4">
                  <c:v>3.6</c:v>
                </c:pt>
                <c:pt idx="5">
                  <c:v>4</c:v>
                </c:pt>
                <c:pt idx="6">
                  <c:v>4.8</c:v>
                </c:pt>
                <c:pt idx="7">
                  <c:v>5.6</c:v>
                </c:pt>
                <c:pt idx="8">
                  <c:v>6</c:v>
                </c:pt>
                <c:pt idx="9">
                  <c:v>6.4</c:v>
                </c:pt>
                <c:pt idx="10">
                  <c:v>6.8</c:v>
                </c:pt>
                <c:pt idx="11">
                  <c:v>7.2</c:v>
                </c:pt>
                <c:pt idx="12">
                  <c:v>7.8</c:v>
                </c:pt>
                <c:pt idx="13">
                  <c:v>8.1999999999999993</c:v>
                </c:pt>
                <c:pt idx="14">
                  <c:v>8.6</c:v>
                </c:pt>
                <c:pt idx="15">
                  <c:v>9</c:v>
                </c:pt>
                <c:pt idx="16">
                  <c:v>9.4</c:v>
                </c:pt>
                <c:pt idx="17">
                  <c:v>9.6</c:v>
                </c:pt>
                <c:pt idx="18">
                  <c:v>10</c:v>
                </c:pt>
                <c:pt idx="19">
                  <c:v>10.199999999999999</c:v>
                </c:pt>
                <c:pt idx="20">
                  <c:v>10.6</c:v>
                </c:pt>
                <c:pt idx="21">
                  <c:v>11</c:v>
                </c:pt>
                <c:pt idx="22">
                  <c:v>11.2</c:v>
                </c:pt>
                <c:pt idx="23">
                  <c:v>11.4</c:v>
                </c:pt>
                <c:pt idx="24">
                  <c:v>11.8</c:v>
                </c:pt>
                <c:pt idx="25">
                  <c:v>12</c:v>
                </c:pt>
                <c:pt idx="26">
                  <c:v>12.4</c:v>
                </c:pt>
                <c:pt idx="27">
                  <c:v>12.6</c:v>
                </c:pt>
                <c:pt idx="28">
                  <c:v>13</c:v>
                </c:pt>
                <c:pt idx="29">
                  <c:v>13.2</c:v>
                </c:pt>
                <c:pt idx="30">
                  <c:v>13.6</c:v>
                </c:pt>
                <c:pt idx="31">
                  <c:v>13.8</c:v>
                </c:pt>
                <c:pt idx="32">
                  <c:v>14.2</c:v>
                </c:pt>
                <c:pt idx="33">
                  <c:v>14.4</c:v>
                </c:pt>
                <c:pt idx="34">
                  <c:v>14.8</c:v>
                </c:pt>
                <c:pt idx="35">
                  <c:v>15</c:v>
                </c:pt>
                <c:pt idx="36">
                  <c:v>15.4</c:v>
                </c:pt>
                <c:pt idx="37">
                  <c:v>15.8</c:v>
                </c:pt>
                <c:pt idx="38">
                  <c:v>16</c:v>
                </c:pt>
                <c:pt idx="39">
                  <c:v>16.2</c:v>
                </c:pt>
                <c:pt idx="40">
                  <c:v>16.600000000000001</c:v>
                </c:pt>
                <c:pt idx="41">
                  <c:v>17</c:v>
                </c:pt>
                <c:pt idx="42">
                  <c:v>17.399999999999999</c:v>
                </c:pt>
                <c:pt idx="43">
                  <c:v>17.600000000000001</c:v>
                </c:pt>
                <c:pt idx="44">
                  <c:v>18</c:v>
                </c:pt>
                <c:pt idx="45">
                  <c:v>18.399999999999999</c:v>
                </c:pt>
                <c:pt idx="46">
                  <c:v>18.8</c:v>
                </c:pt>
                <c:pt idx="47">
                  <c:v>19.2</c:v>
                </c:pt>
                <c:pt idx="48">
                  <c:v>19.399999999999999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B03-714F-88E1-6E03B0A11202}"/>
            </c:ext>
          </c:extLst>
        </c:ser>
        <c:ser>
          <c:idx val="4"/>
          <c:order val="4"/>
          <c:tx>
            <c:v>"12"" Extension 2"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'Tan Bungees'!$Y$4:$Y$52</c:f>
              <c:numCache>
                <c:formatCode>General</c:formatCode>
                <c:ptCount val="49"/>
                <c:pt idx="0">
                  <c:v>0</c:v>
                </c:pt>
                <c:pt idx="1">
                  <c:v>1.2699999999999999E-2</c:v>
                </c:pt>
                <c:pt idx="2">
                  <c:v>2.5399999999999999E-2</c:v>
                </c:pt>
                <c:pt idx="3">
                  <c:v>3.8099999999999995E-2</c:v>
                </c:pt>
                <c:pt idx="4">
                  <c:v>5.0799999999999998E-2</c:v>
                </c:pt>
                <c:pt idx="5">
                  <c:v>6.3500000000000001E-2</c:v>
                </c:pt>
                <c:pt idx="6">
                  <c:v>7.619999999999999E-2</c:v>
                </c:pt>
                <c:pt idx="7">
                  <c:v>8.8899999999999993E-2</c:v>
                </c:pt>
                <c:pt idx="8">
                  <c:v>0.1016</c:v>
                </c:pt>
                <c:pt idx="9">
                  <c:v>0.1143</c:v>
                </c:pt>
                <c:pt idx="10">
                  <c:v>0.127</c:v>
                </c:pt>
                <c:pt idx="11">
                  <c:v>0.13969999999999999</c:v>
                </c:pt>
                <c:pt idx="12">
                  <c:v>0.15239999999999998</c:v>
                </c:pt>
                <c:pt idx="13">
                  <c:v>0.1651</c:v>
                </c:pt>
                <c:pt idx="14">
                  <c:v>0.17779999999999999</c:v>
                </c:pt>
                <c:pt idx="15">
                  <c:v>0.1905</c:v>
                </c:pt>
                <c:pt idx="16">
                  <c:v>0.20319999999999999</c:v>
                </c:pt>
                <c:pt idx="17">
                  <c:v>0.21589999999999998</c:v>
                </c:pt>
                <c:pt idx="18">
                  <c:v>0.2286</c:v>
                </c:pt>
                <c:pt idx="19">
                  <c:v>0.24129999999999999</c:v>
                </c:pt>
                <c:pt idx="20">
                  <c:v>0.254</c:v>
                </c:pt>
                <c:pt idx="21">
                  <c:v>0.26669999999999999</c:v>
                </c:pt>
                <c:pt idx="22">
                  <c:v>0.27939999999999998</c:v>
                </c:pt>
                <c:pt idx="23">
                  <c:v>0.29209999999999997</c:v>
                </c:pt>
                <c:pt idx="24">
                  <c:v>0.30479999999999996</c:v>
                </c:pt>
                <c:pt idx="25">
                  <c:v>0.3175</c:v>
                </c:pt>
                <c:pt idx="26">
                  <c:v>0.33019999999999999</c:v>
                </c:pt>
                <c:pt idx="27">
                  <c:v>0.34289999999999998</c:v>
                </c:pt>
                <c:pt idx="28">
                  <c:v>0.35559999999999997</c:v>
                </c:pt>
                <c:pt idx="29">
                  <c:v>0.36829999999999996</c:v>
                </c:pt>
                <c:pt idx="30">
                  <c:v>0.38100000000000001</c:v>
                </c:pt>
                <c:pt idx="31">
                  <c:v>0.39369999999999999</c:v>
                </c:pt>
                <c:pt idx="32">
                  <c:v>0.40639999999999998</c:v>
                </c:pt>
                <c:pt idx="33">
                  <c:v>0.41909999999999997</c:v>
                </c:pt>
                <c:pt idx="34">
                  <c:v>0.43179999999999996</c:v>
                </c:pt>
                <c:pt idx="35">
                  <c:v>0.44450000000000001</c:v>
                </c:pt>
                <c:pt idx="36">
                  <c:v>0.4572</c:v>
                </c:pt>
                <c:pt idx="37">
                  <c:v>0.46989999999999998</c:v>
                </c:pt>
                <c:pt idx="38">
                  <c:v>0.48259999999999997</c:v>
                </c:pt>
                <c:pt idx="39">
                  <c:v>0.49529999999999996</c:v>
                </c:pt>
                <c:pt idx="40">
                  <c:v>0.50800000000000001</c:v>
                </c:pt>
                <c:pt idx="41">
                  <c:v>0.52069999999999994</c:v>
                </c:pt>
                <c:pt idx="42">
                  <c:v>0.53339999999999999</c:v>
                </c:pt>
                <c:pt idx="43">
                  <c:v>0.54610000000000003</c:v>
                </c:pt>
                <c:pt idx="44">
                  <c:v>0.55879999999999996</c:v>
                </c:pt>
                <c:pt idx="45">
                  <c:v>0.57150000000000001</c:v>
                </c:pt>
                <c:pt idx="46">
                  <c:v>0.58419999999999994</c:v>
                </c:pt>
                <c:pt idx="47">
                  <c:v>0.59689999999999999</c:v>
                </c:pt>
                <c:pt idx="48">
                  <c:v>0.60959999999999992</c:v>
                </c:pt>
              </c:numCache>
            </c:numRef>
          </c:xVal>
          <c:yVal>
            <c:numRef>
              <c:f>'Tan Bungees'!$Z$4:$Z$52</c:f>
              <c:numCache>
                <c:formatCode>General</c:formatCode>
                <c:ptCount val="49"/>
                <c:pt idx="0">
                  <c:v>0</c:v>
                </c:pt>
                <c:pt idx="1">
                  <c:v>0.8</c:v>
                </c:pt>
                <c:pt idx="2">
                  <c:v>1.4</c:v>
                </c:pt>
                <c:pt idx="3">
                  <c:v>2.2000000000000002</c:v>
                </c:pt>
                <c:pt idx="4">
                  <c:v>3</c:v>
                </c:pt>
                <c:pt idx="5">
                  <c:v>3.4</c:v>
                </c:pt>
                <c:pt idx="6">
                  <c:v>4.4000000000000004</c:v>
                </c:pt>
                <c:pt idx="7">
                  <c:v>4.8</c:v>
                </c:pt>
                <c:pt idx="8">
                  <c:v>5.4</c:v>
                </c:pt>
                <c:pt idx="9">
                  <c:v>5.8</c:v>
                </c:pt>
                <c:pt idx="10">
                  <c:v>6.2</c:v>
                </c:pt>
                <c:pt idx="11">
                  <c:v>6.8</c:v>
                </c:pt>
                <c:pt idx="12">
                  <c:v>7</c:v>
                </c:pt>
                <c:pt idx="13">
                  <c:v>7.4</c:v>
                </c:pt>
                <c:pt idx="14">
                  <c:v>8</c:v>
                </c:pt>
                <c:pt idx="15">
                  <c:v>8.1999999999999993</c:v>
                </c:pt>
                <c:pt idx="16">
                  <c:v>8.4</c:v>
                </c:pt>
                <c:pt idx="17">
                  <c:v>8.8000000000000007</c:v>
                </c:pt>
                <c:pt idx="18">
                  <c:v>9.1999999999999993</c:v>
                </c:pt>
                <c:pt idx="19">
                  <c:v>9.4</c:v>
                </c:pt>
                <c:pt idx="20">
                  <c:v>9.8000000000000007</c:v>
                </c:pt>
                <c:pt idx="21">
                  <c:v>10</c:v>
                </c:pt>
                <c:pt idx="22">
                  <c:v>10.4</c:v>
                </c:pt>
                <c:pt idx="23">
                  <c:v>10.6</c:v>
                </c:pt>
                <c:pt idx="24">
                  <c:v>11</c:v>
                </c:pt>
                <c:pt idx="25">
                  <c:v>11.2</c:v>
                </c:pt>
                <c:pt idx="26">
                  <c:v>11.6</c:v>
                </c:pt>
                <c:pt idx="27">
                  <c:v>11.8</c:v>
                </c:pt>
                <c:pt idx="28">
                  <c:v>12</c:v>
                </c:pt>
                <c:pt idx="29">
                  <c:v>12.4</c:v>
                </c:pt>
                <c:pt idx="30">
                  <c:v>12.6</c:v>
                </c:pt>
                <c:pt idx="31">
                  <c:v>13</c:v>
                </c:pt>
                <c:pt idx="32">
                  <c:v>13.2</c:v>
                </c:pt>
                <c:pt idx="33">
                  <c:v>13.4</c:v>
                </c:pt>
                <c:pt idx="34">
                  <c:v>13.8</c:v>
                </c:pt>
                <c:pt idx="35">
                  <c:v>14</c:v>
                </c:pt>
                <c:pt idx="36">
                  <c:v>14.4</c:v>
                </c:pt>
                <c:pt idx="37">
                  <c:v>14.8</c:v>
                </c:pt>
                <c:pt idx="38">
                  <c:v>15</c:v>
                </c:pt>
                <c:pt idx="39">
                  <c:v>15.4</c:v>
                </c:pt>
                <c:pt idx="40">
                  <c:v>15.6</c:v>
                </c:pt>
                <c:pt idx="41">
                  <c:v>16</c:v>
                </c:pt>
                <c:pt idx="42">
                  <c:v>16.2</c:v>
                </c:pt>
                <c:pt idx="43">
                  <c:v>16.8</c:v>
                </c:pt>
                <c:pt idx="44">
                  <c:v>17</c:v>
                </c:pt>
                <c:pt idx="45">
                  <c:v>17.399999999999999</c:v>
                </c:pt>
                <c:pt idx="46">
                  <c:v>17.8</c:v>
                </c:pt>
                <c:pt idx="47">
                  <c:v>18.2</c:v>
                </c:pt>
                <c:pt idx="48">
                  <c:v>18.600000000000001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B03-714F-88E1-6E03B0A11202}"/>
            </c:ext>
          </c:extLst>
        </c:ser>
        <c:ser>
          <c:idx val="5"/>
          <c:order val="5"/>
          <c:tx>
            <c:v>"12"" Extension 3"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'Tan Bungees'!$AD$4:$AD$52</c:f>
              <c:numCache>
                <c:formatCode>General</c:formatCode>
                <c:ptCount val="49"/>
                <c:pt idx="0">
                  <c:v>0</c:v>
                </c:pt>
                <c:pt idx="1">
                  <c:v>1.2699999999999999E-2</c:v>
                </c:pt>
                <c:pt idx="2">
                  <c:v>2.5399999999999999E-2</c:v>
                </c:pt>
                <c:pt idx="3">
                  <c:v>3.8099999999999995E-2</c:v>
                </c:pt>
                <c:pt idx="4">
                  <c:v>5.0799999999999998E-2</c:v>
                </c:pt>
                <c:pt idx="5">
                  <c:v>6.3500000000000001E-2</c:v>
                </c:pt>
                <c:pt idx="6">
                  <c:v>7.619999999999999E-2</c:v>
                </c:pt>
                <c:pt idx="7">
                  <c:v>8.8899999999999993E-2</c:v>
                </c:pt>
                <c:pt idx="8">
                  <c:v>0.1016</c:v>
                </c:pt>
                <c:pt idx="9">
                  <c:v>0.1143</c:v>
                </c:pt>
                <c:pt idx="10">
                  <c:v>0.127</c:v>
                </c:pt>
                <c:pt idx="11">
                  <c:v>0.13969999999999999</c:v>
                </c:pt>
                <c:pt idx="12">
                  <c:v>0.15239999999999998</c:v>
                </c:pt>
                <c:pt idx="13">
                  <c:v>0.1651</c:v>
                </c:pt>
                <c:pt idx="14">
                  <c:v>0.17779999999999999</c:v>
                </c:pt>
                <c:pt idx="15">
                  <c:v>0.1905</c:v>
                </c:pt>
                <c:pt idx="16">
                  <c:v>0.20319999999999999</c:v>
                </c:pt>
                <c:pt idx="17">
                  <c:v>0.21589999999999998</c:v>
                </c:pt>
                <c:pt idx="18">
                  <c:v>0.2286</c:v>
                </c:pt>
                <c:pt idx="19">
                  <c:v>0.24129999999999999</c:v>
                </c:pt>
                <c:pt idx="20">
                  <c:v>0.254</c:v>
                </c:pt>
                <c:pt idx="21">
                  <c:v>0.26669999999999999</c:v>
                </c:pt>
                <c:pt idx="22">
                  <c:v>0.27939999999999998</c:v>
                </c:pt>
                <c:pt idx="23">
                  <c:v>0.29209999999999997</c:v>
                </c:pt>
                <c:pt idx="24">
                  <c:v>0.30479999999999996</c:v>
                </c:pt>
                <c:pt idx="25">
                  <c:v>0.3175</c:v>
                </c:pt>
                <c:pt idx="26">
                  <c:v>0.33019999999999999</c:v>
                </c:pt>
                <c:pt idx="27">
                  <c:v>0.34289999999999998</c:v>
                </c:pt>
                <c:pt idx="28">
                  <c:v>0.35559999999999997</c:v>
                </c:pt>
                <c:pt idx="29">
                  <c:v>0.36829999999999996</c:v>
                </c:pt>
                <c:pt idx="30">
                  <c:v>0.38100000000000001</c:v>
                </c:pt>
                <c:pt idx="31">
                  <c:v>0.39369999999999999</c:v>
                </c:pt>
                <c:pt idx="32">
                  <c:v>0.40639999999999998</c:v>
                </c:pt>
                <c:pt idx="33">
                  <c:v>0.41909999999999997</c:v>
                </c:pt>
                <c:pt idx="34">
                  <c:v>0.43179999999999996</c:v>
                </c:pt>
                <c:pt idx="35">
                  <c:v>0.44450000000000001</c:v>
                </c:pt>
                <c:pt idx="36">
                  <c:v>0.4572</c:v>
                </c:pt>
                <c:pt idx="37">
                  <c:v>0.46989999999999998</c:v>
                </c:pt>
                <c:pt idx="38">
                  <c:v>0.48259999999999997</c:v>
                </c:pt>
                <c:pt idx="39">
                  <c:v>0.49529999999999996</c:v>
                </c:pt>
                <c:pt idx="40">
                  <c:v>0.50800000000000001</c:v>
                </c:pt>
                <c:pt idx="41">
                  <c:v>0.52069999999999994</c:v>
                </c:pt>
                <c:pt idx="42">
                  <c:v>0.53339999999999999</c:v>
                </c:pt>
                <c:pt idx="43">
                  <c:v>0.54610000000000003</c:v>
                </c:pt>
                <c:pt idx="44">
                  <c:v>0.55879999999999996</c:v>
                </c:pt>
                <c:pt idx="45">
                  <c:v>0.57150000000000001</c:v>
                </c:pt>
                <c:pt idx="46">
                  <c:v>0.58419999999999994</c:v>
                </c:pt>
                <c:pt idx="47">
                  <c:v>0.59689999999999999</c:v>
                </c:pt>
                <c:pt idx="48">
                  <c:v>0.60959999999999992</c:v>
                </c:pt>
              </c:numCache>
            </c:numRef>
          </c:xVal>
          <c:yVal>
            <c:numRef>
              <c:f>'Tan Bungees'!$AE$4:$AE$52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1.8</c:v>
                </c:pt>
                <c:pt idx="3">
                  <c:v>2.6</c:v>
                </c:pt>
                <c:pt idx="4">
                  <c:v>3.4</c:v>
                </c:pt>
                <c:pt idx="5">
                  <c:v>3.8</c:v>
                </c:pt>
                <c:pt idx="6">
                  <c:v>4.4000000000000004</c:v>
                </c:pt>
                <c:pt idx="7">
                  <c:v>5</c:v>
                </c:pt>
                <c:pt idx="8">
                  <c:v>5.4</c:v>
                </c:pt>
                <c:pt idx="9">
                  <c:v>5.8</c:v>
                </c:pt>
                <c:pt idx="10">
                  <c:v>6.4</c:v>
                </c:pt>
                <c:pt idx="11">
                  <c:v>6.8</c:v>
                </c:pt>
                <c:pt idx="12">
                  <c:v>7.2</c:v>
                </c:pt>
                <c:pt idx="13">
                  <c:v>7.4</c:v>
                </c:pt>
                <c:pt idx="14">
                  <c:v>7.8</c:v>
                </c:pt>
                <c:pt idx="15">
                  <c:v>8.1999999999999993</c:v>
                </c:pt>
                <c:pt idx="16">
                  <c:v>8.6</c:v>
                </c:pt>
                <c:pt idx="17">
                  <c:v>8.8000000000000007</c:v>
                </c:pt>
                <c:pt idx="18">
                  <c:v>9.1999999999999993</c:v>
                </c:pt>
                <c:pt idx="19">
                  <c:v>9.4</c:v>
                </c:pt>
                <c:pt idx="20">
                  <c:v>9.8000000000000007</c:v>
                </c:pt>
                <c:pt idx="21">
                  <c:v>10</c:v>
                </c:pt>
                <c:pt idx="22">
                  <c:v>10.4</c:v>
                </c:pt>
                <c:pt idx="23">
                  <c:v>10.4</c:v>
                </c:pt>
                <c:pt idx="24">
                  <c:v>10.8</c:v>
                </c:pt>
                <c:pt idx="25">
                  <c:v>11.2</c:v>
                </c:pt>
                <c:pt idx="26">
                  <c:v>11.4</c:v>
                </c:pt>
                <c:pt idx="27">
                  <c:v>11.6</c:v>
                </c:pt>
                <c:pt idx="28">
                  <c:v>12</c:v>
                </c:pt>
                <c:pt idx="29">
                  <c:v>12.2</c:v>
                </c:pt>
                <c:pt idx="30">
                  <c:v>12.6</c:v>
                </c:pt>
                <c:pt idx="31">
                  <c:v>12.8</c:v>
                </c:pt>
                <c:pt idx="32">
                  <c:v>13.2</c:v>
                </c:pt>
                <c:pt idx="33">
                  <c:v>13.4</c:v>
                </c:pt>
                <c:pt idx="34">
                  <c:v>13.8</c:v>
                </c:pt>
                <c:pt idx="35">
                  <c:v>14.2</c:v>
                </c:pt>
                <c:pt idx="36">
                  <c:v>14.4</c:v>
                </c:pt>
                <c:pt idx="37">
                  <c:v>14.8</c:v>
                </c:pt>
                <c:pt idx="38">
                  <c:v>15</c:v>
                </c:pt>
                <c:pt idx="39">
                  <c:v>15.4</c:v>
                </c:pt>
                <c:pt idx="40">
                  <c:v>15.8</c:v>
                </c:pt>
                <c:pt idx="41">
                  <c:v>16</c:v>
                </c:pt>
                <c:pt idx="42">
                  <c:v>16.600000000000001</c:v>
                </c:pt>
                <c:pt idx="43">
                  <c:v>16.8</c:v>
                </c:pt>
                <c:pt idx="44">
                  <c:v>17.2</c:v>
                </c:pt>
                <c:pt idx="45">
                  <c:v>17.600000000000001</c:v>
                </c:pt>
                <c:pt idx="46">
                  <c:v>18</c:v>
                </c:pt>
                <c:pt idx="47">
                  <c:v>18.399999999999999</c:v>
                </c:pt>
                <c:pt idx="48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B03-714F-88E1-6E03B0A11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119807"/>
        <c:axId val="732528175"/>
      </c:scatterChart>
      <c:valAx>
        <c:axId val="732119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Extension</a:t>
                </a:r>
                <a:r>
                  <a:rPr lang="en-US" baseline="0"/>
                  <a:t>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528175"/>
        <c:crosses val="autoZero"/>
        <c:crossBetween val="midCat"/>
      </c:valAx>
      <c:valAx>
        <c:axId val="73252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</a:t>
                </a:r>
                <a:r>
                  <a:rPr lang="en-US" baseline="0"/>
                  <a:t>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119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6" Extension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'Yellow Bungees'!$C$4:$C$52</c:f>
              <c:numCache>
                <c:formatCode>General</c:formatCode>
                <c:ptCount val="49"/>
                <c:pt idx="0">
                  <c:v>0</c:v>
                </c:pt>
                <c:pt idx="1">
                  <c:v>6.3499999999999997E-3</c:v>
                </c:pt>
                <c:pt idx="2">
                  <c:v>1.2699999999999999E-2</c:v>
                </c:pt>
                <c:pt idx="3">
                  <c:v>1.9049999999999997E-2</c:v>
                </c:pt>
                <c:pt idx="4">
                  <c:v>2.5399999999999999E-2</c:v>
                </c:pt>
                <c:pt idx="5">
                  <c:v>3.175E-2</c:v>
                </c:pt>
                <c:pt idx="6">
                  <c:v>3.8099999999999995E-2</c:v>
                </c:pt>
                <c:pt idx="7">
                  <c:v>4.4449999999999996E-2</c:v>
                </c:pt>
                <c:pt idx="8">
                  <c:v>5.0799999999999998E-2</c:v>
                </c:pt>
                <c:pt idx="9">
                  <c:v>5.7149999999999999E-2</c:v>
                </c:pt>
                <c:pt idx="10">
                  <c:v>6.3500000000000001E-2</c:v>
                </c:pt>
                <c:pt idx="11">
                  <c:v>6.9849999999999995E-2</c:v>
                </c:pt>
                <c:pt idx="12">
                  <c:v>7.619999999999999E-2</c:v>
                </c:pt>
                <c:pt idx="13">
                  <c:v>8.2549999999999998E-2</c:v>
                </c:pt>
                <c:pt idx="14">
                  <c:v>8.8899999999999993E-2</c:v>
                </c:pt>
                <c:pt idx="15">
                  <c:v>9.5250000000000001E-2</c:v>
                </c:pt>
                <c:pt idx="16">
                  <c:v>0.1016</c:v>
                </c:pt>
                <c:pt idx="17">
                  <c:v>0.10794999999999999</c:v>
                </c:pt>
                <c:pt idx="18">
                  <c:v>0.1143</c:v>
                </c:pt>
                <c:pt idx="19">
                  <c:v>0.12064999999999999</c:v>
                </c:pt>
                <c:pt idx="20">
                  <c:v>0.127</c:v>
                </c:pt>
                <c:pt idx="21">
                  <c:v>0.13335</c:v>
                </c:pt>
                <c:pt idx="22">
                  <c:v>0.13969999999999999</c:v>
                </c:pt>
                <c:pt idx="23">
                  <c:v>0.14604999999999999</c:v>
                </c:pt>
                <c:pt idx="24">
                  <c:v>0.15239999999999998</c:v>
                </c:pt>
                <c:pt idx="25">
                  <c:v>0.15875</c:v>
                </c:pt>
                <c:pt idx="26">
                  <c:v>0.1651</c:v>
                </c:pt>
                <c:pt idx="27">
                  <c:v>0.17144999999999999</c:v>
                </c:pt>
                <c:pt idx="28">
                  <c:v>0.17779999999999999</c:v>
                </c:pt>
                <c:pt idx="29">
                  <c:v>0.18414999999999998</c:v>
                </c:pt>
                <c:pt idx="30">
                  <c:v>0.1905</c:v>
                </c:pt>
                <c:pt idx="31">
                  <c:v>0.19685</c:v>
                </c:pt>
                <c:pt idx="32">
                  <c:v>0.20319999999999999</c:v>
                </c:pt>
                <c:pt idx="33">
                  <c:v>0.20954999999999999</c:v>
                </c:pt>
                <c:pt idx="34">
                  <c:v>0.21589999999999998</c:v>
                </c:pt>
                <c:pt idx="35">
                  <c:v>0.22225</c:v>
                </c:pt>
                <c:pt idx="36">
                  <c:v>0.2286</c:v>
                </c:pt>
                <c:pt idx="37">
                  <c:v>0.23494999999999999</c:v>
                </c:pt>
                <c:pt idx="38">
                  <c:v>0.24129999999999999</c:v>
                </c:pt>
                <c:pt idx="39">
                  <c:v>0.24764999999999998</c:v>
                </c:pt>
                <c:pt idx="40">
                  <c:v>0.254</c:v>
                </c:pt>
                <c:pt idx="41">
                  <c:v>0.26034999999999997</c:v>
                </c:pt>
                <c:pt idx="42">
                  <c:v>0.26669999999999999</c:v>
                </c:pt>
                <c:pt idx="43">
                  <c:v>0.27305000000000001</c:v>
                </c:pt>
                <c:pt idx="44">
                  <c:v>0.27939999999999998</c:v>
                </c:pt>
                <c:pt idx="45">
                  <c:v>0.28575</c:v>
                </c:pt>
                <c:pt idx="46">
                  <c:v>0.29209999999999997</c:v>
                </c:pt>
                <c:pt idx="47">
                  <c:v>0.29844999999999999</c:v>
                </c:pt>
                <c:pt idx="48">
                  <c:v>0.30479999999999996</c:v>
                </c:pt>
              </c:numCache>
            </c:numRef>
          </c:xVal>
          <c:yVal>
            <c:numRef>
              <c:f>'Yellow Bungees'!$D$4:$D$52</c:f>
              <c:numCache>
                <c:formatCode>General</c:formatCode>
                <c:ptCount val="49"/>
                <c:pt idx="0">
                  <c:v>0</c:v>
                </c:pt>
                <c:pt idx="1">
                  <c:v>1.4</c:v>
                </c:pt>
                <c:pt idx="2">
                  <c:v>2.4</c:v>
                </c:pt>
                <c:pt idx="3">
                  <c:v>4</c:v>
                </c:pt>
                <c:pt idx="4">
                  <c:v>4.5999999999999996</c:v>
                </c:pt>
                <c:pt idx="5">
                  <c:v>5.8</c:v>
                </c:pt>
                <c:pt idx="6">
                  <c:v>5.8</c:v>
                </c:pt>
                <c:pt idx="7">
                  <c:v>7</c:v>
                </c:pt>
                <c:pt idx="8">
                  <c:v>7.6</c:v>
                </c:pt>
                <c:pt idx="9">
                  <c:v>8.1999999999999993</c:v>
                </c:pt>
                <c:pt idx="10">
                  <c:v>8.6</c:v>
                </c:pt>
                <c:pt idx="11">
                  <c:v>9.8000000000000007</c:v>
                </c:pt>
                <c:pt idx="12">
                  <c:v>10.4</c:v>
                </c:pt>
                <c:pt idx="13">
                  <c:v>11</c:v>
                </c:pt>
                <c:pt idx="14">
                  <c:v>11.4</c:v>
                </c:pt>
                <c:pt idx="15">
                  <c:v>11.8</c:v>
                </c:pt>
                <c:pt idx="16">
                  <c:v>12.2</c:v>
                </c:pt>
                <c:pt idx="17">
                  <c:v>13</c:v>
                </c:pt>
                <c:pt idx="18">
                  <c:v>13.8</c:v>
                </c:pt>
                <c:pt idx="19">
                  <c:v>14.2</c:v>
                </c:pt>
                <c:pt idx="20">
                  <c:v>14.6</c:v>
                </c:pt>
                <c:pt idx="21">
                  <c:v>14.8</c:v>
                </c:pt>
                <c:pt idx="22">
                  <c:v>15</c:v>
                </c:pt>
                <c:pt idx="23">
                  <c:v>15.2</c:v>
                </c:pt>
                <c:pt idx="24">
                  <c:v>15.4</c:v>
                </c:pt>
                <c:pt idx="25">
                  <c:v>15.8</c:v>
                </c:pt>
                <c:pt idx="26">
                  <c:v>16.2</c:v>
                </c:pt>
                <c:pt idx="27">
                  <c:v>16.600000000000001</c:v>
                </c:pt>
                <c:pt idx="28">
                  <c:v>17</c:v>
                </c:pt>
                <c:pt idx="29">
                  <c:v>17.399999999999999</c:v>
                </c:pt>
                <c:pt idx="30">
                  <c:v>17.8</c:v>
                </c:pt>
                <c:pt idx="31">
                  <c:v>18</c:v>
                </c:pt>
                <c:pt idx="32">
                  <c:v>18.399999999999999</c:v>
                </c:pt>
                <c:pt idx="33">
                  <c:v>18.8</c:v>
                </c:pt>
                <c:pt idx="34">
                  <c:v>19.2</c:v>
                </c:pt>
                <c:pt idx="35">
                  <c:v>19.600000000000001</c:v>
                </c:pt>
                <c:pt idx="36">
                  <c:v>19.8</c:v>
                </c:pt>
                <c:pt idx="37">
                  <c:v>20.2</c:v>
                </c:pt>
                <c:pt idx="38">
                  <c:v>20.6</c:v>
                </c:pt>
                <c:pt idx="39">
                  <c:v>20.8</c:v>
                </c:pt>
                <c:pt idx="40">
                  <c:v>21</c:v>
                </c:pt>
                <c:pt idx="41">
                  <c:v>21.4</c:v>
                </c:pt>
                <c:pt idx="42">
                  <c:v>21.8</c:v>
                </c:pt>
                <c:pt idx="43">
                  <c:v>22</c:v>
                </c:pt>
                <c:pt idx="44">
                  <c:v>22.4</c:v>
                </c:pt>
                <c:pt idx="45">
                  <c:v>22.8</c:v>
                </c:pt>
                <c:pt idx="46">
                  <c:v>23</c:v>
                </c:pt>
                <c:pt idx="47">
                  <c:v>23.4</c:v>
                </c:pt>
                <c:pt idx="48">
                  <c:v>23.6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60-D140-8295-E752583C3EDA}"/>
            </c:ext>
          </c:extLst>
        </c:ser>
        <c:ser>
          <c:idx val="1"/>
          <c:order val="1"/>
          <c:tx>
            <c:v>6" Extension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'Yellow Bungees'!$H$4:$H$52</c:f>
              <c:numCache>
                <c:formatCode>General</c:formatCode>
                <c:ptCount val="49"/>
                <c:pt idx="0">
                  <c:v>0</c:v>
                </c:pt>
                <c:pt idx="1">
                  <c:v>6.3499999999999997E-3</c:v>
                </c:pt>
                <c:pt idx="2">
                  <c:v>1.2699999999999999E-2</c:v>
                </c:pt>
                <c:pt idx="3">
                  <c:v>1.9049999999999997E-2</c:v>
                </c:pt>
                <c:pt idx="4">
                  <c:v>2.5399999999999999E-2</c:v>
                </c:pt>
                <c:pt idx="5">
                  <c:v>3.175E-2</c:v>
                </c:pt>
                <c:pt idx="6">
                  <c:v>3.8099999999999995E-2</c:v>
                </c:pt>
                <c:pt idx="7">
                  <c:v>4.4449999999999996E-2</c:v>
                </c:pt>
                <c:pt idx="8">
                  <c:v>5.0799999999999998E-2</c:v>
                </c:pt>
                <c:pt idx="9">
                  <c:v>5.7149999999999999E-2</c:v>
                </c:pt>
                <c:pt idx="10">
                  <c:v>6.3500000000000001E-2</c:v>
                </c:pt>
                <c:pt idx="11">
                  <c:v>6.9849999999999995E-2</c:v>
                </c:pt>
                <c:pt idx="12">
                  <c:v>7.619999999999999E-2</c:v>
                </c:pt>
                <c:pt idx="13">
                  <c:v>8.2549999999999998E-2</c:v>
                </c:pt>
                <c:pt idx="14">
                  <c:v>8.8899999999999993E-2</c:v>
                </c:pt>
                <c:pt idx="15">
                  <c:v>9.5250000000000001E-2</c:v>
                </c:pt>
                <c:pt idx="16">
                  <c:v>0.1016</c:v>
                </c:pt>
                <c:pt idx="17">
                  <c:v>0.10794999999999999</c:v>
                </c:pt>
                <c:pt idx="18">
                  <c:v>0.1143</c:v>
                </c:pt>
                <c:pt idx="19">
                  <c:v>0.12064999999999999</c:v>
                </c:pt>
                <c:pt idx="20">
                  <c:v>0.127</c:v>
                </c:pt>
                <c:pt idx="21">
                  <c:v>0.13335</c:v>
                </c:pt>
                <c:pt idx="22">
                  <c:v>0.13969999999999999</c:v>
                </c:pt>
                <c:pt idx="23">
                  <c:v>0.14604999999999999</c:v>
                </c:pt>
                <c:pt idx="24">
                  <c:v>0.15239999999999998</c:v>
                </c:pt>
                <c:pt idx="25">
                  <c:v>0.15875</c:v>
                </c:pt>
                <c:pt idx="26">
                  <c:v>0.1651</c:v>
                </c:pt>
                <c:pt idx="27">
                  <c:v>0.17144999999999999</c:v>
                </c:pt>
                <c:pt idx="28">
                  <c:v>0.17779999999999999</c:v>
                </c:pt>
                <c:pt idx="29">
                  <c:v>0.18414999999999998</c:v>
                </c:pt>
                <c:pt idx="30">
                  <c:v>0.1905</c:v>
                </c:pt>
                <c:pt idx="31">
                  <c:v>0.19685</c:v>
                </c:pt>
                <c:pt idx="32">
                  <c:v>0.20319999999999999</c:v>
                </c:pt>
                <c:pt idx="33">
                  <c:v>0.20954999999999999</c:v>
                </c:pt>
                <c:pt idx="34">
                  <c:v>0.21589999999999998</c:v>
                </c:pt>
                <c:pt idx="35">
                  <c:v>0.22225</c:v>
                </c:pt>
                <c:pt idx="36">
                  <c:v>0.2286</c:v>
                </c:pt>
                <c:pt idx="37">
                  <c:v>0.23494999999999999</c:v>
                </c:pt>
                <c:pt idx="38">
                  <c:v>0.24129999999999999</c:v>
                </c:pt>
                <c:pt idx="39">
                  <c:v>0.24764999999999998</c:v>
                </c:pt>
                <c:pt idx="40">
                  <c:v>0.254</c:v>
                </c:pt>
                <c:pt idx="41">
                  <c:v>0.26034999999999997</c:v>
                </c:pt>
                <c:pt idx="42">
                  <c:v>0.26669999999999999</c:v>
                </c:pt>
                <c:pt idx="43">
                  <c:v>0.27305000000000001</c:v>
                </c:pt>
                <c:pt idx="44">
                  <c:v>0.27939999999999998</c:v>
                </c:pt>
                <c:pt idx="45">
                  <c:v>0.28575</c:v>
                </c:pt>
                <c:pt idx="46">
                  <c:v>0.29209999999999997</c:v>
                </c:pt>
                <c:pt idx="47">
                  <c:v>0.29844999999999999</c:v>
                </c:pt>
                <c:pt idx="48">
                  <c:v>0.30479999999999996</c:v>
                </c:pt>
              </c:numCache>
            </c:numRef>
          </c:xVal>
          <c:yVal>
            <c:numRef>
              <c:f>'Yellow Bungees'!$I$4:$I$52</c:f>
              <c:numCache>
                <c:formatCode>General</c:formatCode>
                <c:ptCount val="49"/>
                <c:pt idx="0">
                  <c:v>0</c:v>
                </c:pt>
                <c:pt idx="1">
                  <c:v>1.8</c:v>
                </c:pt>
                <c:pt idx="2">
                  <c:v>3</c:v>
                </c:pt>
                <c:pt idx="3">
                  <c:v>3.8</c:v>
                </c:pt>
                <c:pt idx="4">
                  <c:v>4.4000000000000004</c:v>
                </c:pt>
                <c:pt idx="5">
                  <c:v>5.6</c:v>
                </c:pt>
                <c:pt idx="6">
                  <c:v>6.4</c:v>
                </c:pt>
                <c:pt idx="7">
                  <c:v>6.6</c:v>
                </c:pt>
                <c:pt idx="8">
                  <c:v>7.8</c:v>
                </c:pt>
                <c:pt idx="9">
                  <c:v>8.1999999999999993</c:v>
                </c:pt>
                <c:pt idx="10">
                  <c:v>8.8000000000000007</c:v>
                </c:pt>
                <c:pt idx="11">
                  <c:v>9.4</c:v>
                </c:pt>
                <c:pt idx="12">
                  <c:v>9.6</c:v>
                </c:pt>
                <c:pt idx="13">
                  <c:v>10.199999999999999</c:v>
                </c:pt>
                <c:pt idx="14">
                  <c:v>10.8</c:v>
                </c:pt>
                <c:pt idx="15">
                  <c:v>11</c:v>
                </c:pt>
                <c:pt idx="16">
                  <c:v>11.6</c:v>
                </c:pt>
                <c:pt idx="17">
                  <c:v>11.8</c:v>
                </c:pt>
                <c:pt idx="18">
                  <c:v>12.4</c:v>
                </c:pt>
                <c:pt idx="19">
                  <c:v>12.8</c:v>
                </c:pt>
                <c:pt idx="20">
                  <c:v>13</c:v>
                </c:pt>
                <c:pt idx="21">
                  <c:v>13.4</c:v>
                </c:pt>
                <c:pt idx="22">
                  <c:v>13.8</c:v>
                </c:pt>
                <c:pt idx="23">
                  <c:v>14</c:v>
                </c:pt>
                <c:pt idx="24">
                  <c:v>14.6</c:v>
                </c:pt>
                <c:pt idx="25">
                  <c:v>14.8</c:v>
                </c:pt>
                <c:pt idx="26">
                  <c:v>15.2</c:v>
                </c:pt>
                <c:pt idx="27">
                  <c:v>15.6</c:v>
                </c:pt>
                <c:pt idx="28">
                  <c:v>16</c:v>
                </c:pt>
                <c:pt idx="29">
                  <c:v>16.2</c:v>
                </c:pt>
                <c:pt idx="30">
                  <c:v>16.600000000000001</c:v>
                </c:pt>
                <c:pt idx="31">
                  <c:v>16.8</c:v>
                </c:pt>
                <c:pt idx="32">
                  <c:v>17.2</c:v>
                </c:pt>
                <c:pt idx="33">
                  <c:v>17.600000000000001</c:v>
                </c:pt>
                <c:pt idx="34">
                  <c:v>17.8</c:v>
                </c:pt>
                <c:pt idx="35">
                  <c:v>18.2</c:v>
                </c:pt>
                <c:pt idx="36">
                  <c:v>18.600000000000001</c:v>
                </c:pt>
                <c:pt idx="37">
                  <c:v>19</c:v>
                </c:pt>
                <c:pt idx="38">
                  <c:v>19.399999999999999</c:v>
                </c:pt>
                <c:pt idx="39">
                  <c:v>19.8</c:v>
                </c:pt>
                <c:pt idx="40">
                  <c:v>20</c:v>
                </c:pt>
                <c:pt idx="41">
                  <c:v>20.399999999999999</c:v>
                </c:pt>
                <c:pt idx="42">
                  <c:v>21</c:v>
                </c:pt>
                <c:pt idx="43">
                  <c:v>21.2</c:v>
                </c:pt>
                <c:pt idx="44">
                  <c:v>21.6</c:v>
                </c:pt>
                <c:pt idx="45">
                  <c:v>22</c:v>
                </c:pt>
                <c:pt idx="46">
                  <c:v>22.4</c:v>
                </c:pt>
                <c:pt idx="47">
                  <c:v>23</c:v>
                </c:pt>
                <c:pt idx="48">
                  <c:v>23.4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60-D140-8295-E752583C3EDA}"/>
            </c:ext>
          </c:extLst>
        </c:ser>
        <c:ser>
          <c:idx val="2"/>
          <c:order val="2"/>
          <c:tx>
            <c:v>6" Extension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'Yellow Bungees'!$M$4:$M$52</c:f>
              <c:numCache>
                <c:formatCode>General</c:formatCode>
                <c:ptCount val="49"/>
                <c:pt idx="0">
                  <c:v>0</c:v>
                </c:pt>
                <c:pt idx="1">
                  <c:v>6.3499999999999997E-3</c:v>
                </c:pt>
                <c:pt idx="2">
                  <c:v>1.2699999999999999E-2</c:v>
                </c:pt>
                <c:pt idx="3">
                  <c:v>1.9049999999999997E-2</c:v>
                </c:pt>
                <c:pt idx="4">
                  <c:v>2.5399999999999999E-2</c:v>
                </c:pt>
                <c:pt idx="5">
                  <c:v>3.175E-2</c:v>
                </c:pt>
                <c:pt idx="6">
                  <c:v>3.8099999999999995E-2</c:v>
                </c:pt>
                <c:pt idx="7">
                  <c:v>4.4449999999999996E-2</c:v>
                </c:pt>
                <c:pt idx="8">
                  <c:v>5.0799999999999998E-2</c:v>
                </c:pt>
                <c:pt idx="9">
                  <c:v>5.7149999999999999E-2</c:v>
                </c:pt>
                <c:pt idx="10">
                  <c:v>6.3500000000000001E-2</c:v>
                </c:pt>
                <c:pt idx="11">
                  <c:v>6.9849999999999995E-2</c:v>
                </c:pt>
                <c:pt idx="12">
                  <c:v>7.619999999999999E-2</c:v>
                </c:pt>
                <c:pt idx="13">
                  <c:v>8.2549999999999998E-2</c:v>
                </c:pt>
                <c:pt idx="14">
                  <c:v>8.8899999999999993E-2</c:v>
                </c:pt>
                <c:pt idx="15">
                  <c:v>9.5250000000000001E-2</c:v>
                </c:pt>
                <c:pt idx="16">
                  <c:v>0.1016</c:v>
                </c:pt>
                <c:pt idx="17">
                  <c:v>0.10794999999999999</c:v>
                </c:pt>
                <c:pt idx="18">
                  <c:v>0.1143</c:v>
                </c:pt>
                <c:pt idx="19">
                  <c:v>0.12064999999999999</c:v>
                </c:pt>
                <c:pt idx="20">
                  <c:v>0.127</c:v>
                </c:pt>
                <c:pt idx="21">
                  <c:v>0.13335</c:v>
                </c:pt>
                <c:pt idx="22">
                  <c:v>0.13969999999999999</c:v>
                </c:pt>
                <c:pt idx="23">
                  <c:v>0.14604999999999999</c:v>
                </c:pt>
                <c:pt idx="24">
                  <c:v>0.15239999999999998</c:v>
                </c:pt>
                <c:pt idx="25">
                  <c:v>0.15875</c:v>
                </c:pt>
                <c:pt idx="26">
                  <c:v>0.1651</c:v>
                </c:pt>
                <c:pt idx="27">
                  <c:v>0.17144999999999999</c:v>
                </c:pt>
                <c:pt idx="28">
                  <c:v>0.17779999999999999</c:v>
                </c:pt>
                <c:pt idx="29">
                  <c:v>0.18414999999999998</c:v>
                </c:pt>
                <c:pt idx="30">
                  <c:v>0.1905</c:v>
                </c:pt>
                <c:pt idx="31">
                  <c:v>0.19685</c:v>
                </c:pt>
                <c:pt idx="32">
                  <c:v>0.20319999999999999</c:v>
                </c:pt>
                <c:pt idx="33">
                  <c:v>0.20954999999999999</c:v>
                </c:pt>
                <c:pt idx="34">
                  <c:v>0.21589999999999998</c:v>
                </c:pt>
                <c:pt idx="35">
                  <c:v>0.22225</c:v>
                </c:pt>
                <c:pt idx="36">
                  <c:v>0.2286</c:v>
                </c:pt>
                <c:pt idx="37">
                  <c:v>0.23494999999999999</c:v>
                </c:pt>
                <c:pt idx="38">
                  <c:v>0.24129999999999999</c:v>
                </c:pt>
                <c:pt idx="39">
                  <c:v>0.24764999999999998</c:v>
                </c:pt>
                <c:pt idx="40">
                  <c:v>0.254</c:v>
                </c:pt>
                <c:pt idx="41">
                  <c:v>0.26034999999999997</c:v>
                </c:pt>
                <c:pt idx="42">
                  <c:v>0.26669999999999999</c:v>
                </c:pt>
                <c:pt idx="43">
                  <c:v>0.27305000000000001</c:v>
                </c:pt>
                <c:pt idx="44">
                  <c:v>0.27939999999999998</c:v>
                </c:pt>
                <c:pt idx="45">
                  <c:v>0.28575</c:v>
                </c:pt>
                <c:pt idx="46">
                  <c:v>0.29209999999999997</c:v>
                </c:pt>
                <c:pt idx="47">
                  <c:v>0.29844999999999999</c:v>
                </c:pt>
                <c:pt idx="48">
                  <c:v>0.30479999999999996</c:v>
                </c:pt>
              </c:numCache>
            </c:numRef>
          </c:xVal>
          <c:yVal>
            <c:numRef>
              <c:f>'Yellow Bungees'!$N$4:$N$52</c:f>
              <c:numCache>
                <c:formatCode>General</c:formatCode>
                <c:ptCount val="49"/>
                <c:pt idx="0">
                  <c:v>0</c:v>
                </c:pt>
                <c:pt idx="1">
                  <c:v>1.8</c:v>
                </c:pt>
                <c:pt idx="2">
                  <c:v>2.8</c:v>
                </c:pt>
                <c:pt idx="3">
                  <c:v>3.4</c:v>
                </c:pt>
                <c:pt idx="4">
                  <c:v>4.5999999999999996</c:v>
                </c:pt>
                <c:pt idx="5">
                  <c:v>5</c:v>
                </c:pt>
                <c:pt idx="6">
                  <c:v>6</c:v>
                </c:pt>
                <c:pt idx="7">
                  <c:v>6.6</c:v>
                </c:pt>
                <c:pt idx="8">
                  <c:v>7</c:v>
                </c:pt>
                <c:pt idx="9">
                  <c:v>7.8</c:v>
                </c:pt>
                <c:pt idx="10">
                  <c:v>8.4</c:v>
                </c:pt>
                <c:pt idx="11">
                  <c:v>8.8000000000000007</c:v>
                </c:pt>
                <c:pt idx="12">
                  <c:v>9.4</c:v>
                </c:pt>
                <c:pt idx="13">
                  <c:v>9.8000000000000007</c:v>
                </c:pt>
                <c:pt idx="14">
                  <c:v>10.199999999999999</c:v>
                </c:pt>
                <c:pt idx="15">
                  <c:v>10.6</c:v>
                </c:pt>
                <c:pt idx="16">
                  <c:v>11</c:v>
                </c:pt>
                <c:pt idx="17">
                  <c:v>11.4</c:v>
                </c:pt>
                <c:pt idx="18">
                  <c:v>12</c:v>
                </c:pt>
                <c:pt idx="19">
                  <c:v>12.2</c:v>
                </c:pt>
                <c:pt idx="20">
                  <c:v>12.8</c:v>
                </c:pt>
                <c:pt idx="21">
                  <c:v>13</c:v>
                </c:pt>
                <c:pt idx="22">
                  <c:v>13.4</c:v>
                </c:pt>
                <c:pt idx="23">
                  <c:v>13.8</c:v>
                </c:pt>
                <c:pt idx="24">
                  <c:v>14.2</c:v>
                </c:pt>
                <c:pt idx="25">
                  <c:v>14.4</c:v>
                </c:pt>
                <c:pt idx="26">
                  <c:v>14.8</c:v>
                </c:pt>
                <c:pt idx="27">
                  <c:v>15</c:v>
                </c:pt>
                <c:pt idx="28">
                  <c:v>15.2</c:v>
                </c:pt>
                <c:pt idx="29">
                  <c:v>15.6</c:v>
                </c:pt>
                <c:pt idx="30">
                  <c:v>16</c:v>
                </c:pt>
                <c:pt idx="31">
                  <c:v>16.2</c:v>
                </c:pt>
                <c:pt idx="32">
                  <c:v>16.600000000000001</c:v>
                </c:pt>
                <c:pt idx="33">
                  <c:v>17</c:v>
                </c:pt>
                <c:pt idx="34">
                  <c:v>17.2</c:v>
                </c:pt>
                <c:pt idx="35">
                  <c:v>17.600000000000001</c:v>
                </c:pt>
                <c:pt idx="36">
                  <c:v>18</c:v>
                </c:pt>
                <c:pt idx="37">
                  <c:v>18.2</c:v>
                </c:pt>
                <c:pt idx="38">
                  <c:v>18.600000000000001</c:v>
                </c:pt>
                <c:pt idx="39">
                  <c:v>19</c:v>
                </c:pt>
                <c:pt idx="40">
                  <c:v>19.399999999999999</c:v>
                </c:pt>
                <c:pt idx="41">
                  <c:v>19.600000000000001</c:v>
                </c:pt>
                <c:pt idx="42">
                  <c:v>20</c:v>
                </c:pt>
                <c:pt idx="43">
                  <c:v>20.2</c:v>
                </c:pt>
                <c:pt idx="44">
                  <c:v>20.8</c:v>
                </c:pt>
                <c:pt idx="45">
                  <c:v>21.2</c:v>
                </c:pt>
                <c:pt idx="46">
                  <c:v>21.6</c:v>
                </c:pt>
                <c:pt idx="47">
                  <c:v>22</c:v>
                </c:pt>
                <c:pt idx="48">
                  <c:v>22.6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60-D140-8295-E752583C3EDA}"/>
            </c:ext>
          </c:extLst>
        </c:ser>
        <c:ser>
          <c:idx val="3"/>
          <c:order val="3"/>
          <c:tx>
            <c:v>"12"" Extension 1"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'Yellow Bungees'!$S$4:$S$52</c:f>
              <c:numCache>
                <c:formatCode>General</c:formatCode>
                <c:ptCount val="49"/>
                <c:pt idx="0">
                  <c:v>0</c:v>
                </c:pt>
                <c:pt idx="1">
                  <c:v>1.2699999999999999E-2</c:v>
                </c:pt>
                <c:pt idx="2">
                  <c:v>2.5399999999999999E-2</c:v>
                </c:pt>
                <c:pt idx="3">
                  <c:v>3.8099999999999995E-2</c:v>
                </c:pt>
                <c:pt idx="4">
                  <c:v>5.0799999999999998E-2</c:v>
                </c:pt>
                <c:pt idx="5">
                  <c:v>6.3500000000000001E-2</c:v>
                </c:pt>
                <c:pt idx="6">
                  <c:v>7.619999999999999E-2</c:v>
                </c:pt>
                <c:pt idx="7">
                  <c:v>8.8899999999999993E-2</c:v>
                </c:pt>
                <c:pt idx="8">
                  <c:v>0.1016</c:v>
                </c:pt>
                <c:pt idx="9">
                  <c:v>0.1143</c:v>
                </c:pt>
                <c:pt idx="10">
                  <c:v>0.127</c:v>
                </c:pt>
                <c:pt idx="11">
                  <c:v>0.13969999999999999</c:v>
                </c:pt>
                <c:pt idx="12">
                  <c:v>0.15239999999999998</c:v>
                </c:pt>
                <c:pt idx="13">
                  <c:v>0.1651</c:v>
                </c:pt>
                <c:pt idx="14">
                  <c:v>0.17779999999999999</c:v>
                </c:pt>
                <c:pt idx="15">
                  <c:v>0.1905</c:v>
                </c:pt>
                <c:pt idx="16">
                  <c:v>0.20319999999999999</c:v>
                </c:pt>
                <c:pt idx="17">
                  <c:v>0.21589999999999998</c:v>
                </c:pt>
                <c:pt idx="18">
                  <c:v>0.2286</c:v>
                </c:pt>
                <c:pt idx="19">
                  <c:v>0.24129999999999999</c:v>
                </c:pt>
                <c:pt idx="20">
                  <c:v>0.254</c:v>
                </c:pt>
                <c:pt idx="21">
                  <c:v>0.26669999999999999</c:v>
                </c:pt>
                <c:pt idx="22">
                  <c:v>0.27939999999999998</c:v>
                </c:pt>
                <c:pt idx="23">
                  <c:v>0.29209999999999997</c:v>
                </c:pt>
                <c:pt idx="24">
                  <c:v>0.30479999999999996</c:v>
                </c:pt>
                <c:pt idx="25">
                  <c:v>0.3175</c:v>
                </c:pt>
                <c:pt idx="26">
                  <c:v>0.33019999999999999</c:v>
                </c:pt>
                <c:pt idx="27">
                  <c:v>0.34289999999999998</c:v>
                </c:pt>
                <c:pt idx="28">
                  <c:v>0.35559999999999997</c:v>
                </c:pt>
                <c:pt idx="29">
                  <c:v>0.36829999999999996</c:v>
                </c:pt>
                <c:pt idx="30">
                  <c:v>0.38100000000000001</c:v>
                </c:pt>
                <c:pt idx="31">
                  <c:v>0.39369999999999999</c:v>
                </c:pt>
                <c:pt idx="32">
                  <c:v>0.40639999999999998</c:v>
                </c:pt>
                <c:pt idx="33">
                  <c:v>0.41909999999999997</c:v>
                </c:pt>
                <c:pt idx="34">
                  <c:v>0.43179999999999996</c:v>
                </c:pt>
                <c:pt idx="35">
                  <c:v>0.44450000000000001</c:v>
                </c:pt>
                <c:pt idx="36">
                  <c:v>0.4572</c:v>
                </c:pt>
                <c:pt idx="37">
                  <c:v>0.46989999999999998</c:v>
                </c:pt>
                <c:pt idx="38">
                  <c:v>0.48259999999999997</c:v>
                </c:pt>
                <c:pt idx="39">
                  <c:v>0.49529999999999996</c:v>
                </c:pt>
                <c:pt idx="40">
                  <c:v>0.50800000000000001</c:v>
                </c:pt>
                <c:pt idx="41">
                  <c:v>0.52069999999999994</c:v>
                </c:pt>
                <c:pt idx="42">
                  <c:v>0.53339999999999999</c:v>
                </c:pt>
                <c:pt idx="43">
                  <c:v>0.54610000000000003</c:v>
                </c:pt>
                <c:pt idx="44">
                  <c:v>0.55879999999999996</c:v>
                </c:pt>
                <c:pt idx="45">
                  <c:v>0.57150000000000001</c:v>
                </c:pt>
                <c:pt idx="46">
                  <c:v>0.58419999999999994</c:v>
                </c:pt>
                <c:pt idx="47">
                  <c:v>0.59689999999999999</c:v>
                </c:pt>
                <c:pt idx="48">
                  <c:v>0.60959999999999992</c:v>
                </c:pt>
              </c:numCache>
            </c:numRef>
          </c:xVal>
          <c:yVal>
            <c:numRef>
              <c:f>'Yellow Bungees'!$T$4:$T$52</c:f>
              <c:numCache>
                <c:formatCode>General</c:formatCode>
                <c:ptCount val="49"/>
                <c:pt idx="0">
                  <c:v>0</c:v>
                </c:pt>
                <c:pt idx="1">
                  <c:v>1.4</c:v>
                </c:pt>
                <c:pt idx="2">
                  <c:v>3</c:v>
                </c:pt>
                <c:pt idx="3">
                  <c:v>4</c:v>
                </c:pt>
                <c:pt idx="4">
                  <c:v>5.6</c:v>
                </c:pt>
                <c:pt idx="5">
                  <c:v>6.8</c:v>
                </c:pt>
                <c:pt idx="6">
                  <c:v>7.4</c:v>
                </c:pt>
                <c:pt idx="7">
                  <c:v>8.1999999999999993</c:v>
                </c:pt>
                <c:pt idx="8">
                  <c:v>9.1999999999999993</c:v>
                </c:pt>
                <c:pt idx="9">
                  <c:v>9.8000000000000007</c:v>
                </c:pt>
                <c:pt idx="10">
                  <c:v>10.4</c:v>
                </c:pt>
                <c:pt idx="11">
                  <c:v>11.2</c:v>
                </c:pt>
                <c:pt idx="12">
                  <c:v>11.6</c:v>
                </c:pt>
                <c:pt idx="13">
                  <c:v>12.4</c:v>
                </c:pt>
                <c:pt idx="14">
                  <c:v>13</c:v>
                </c:pt>
                <c:pt idx="15">
                  <c:v>13.4</c:v>
                </c:pt>
                <c:pt idx="16">
                  <c:v>13.8</c:v>
                </c:pt>
                <c:pt idx="17">
                  <c:v>14.2</c:v>
                </c:pt>
                <c:pt idx="18">
                  <c:v>14.8</c:v>
                </c:pt>
                <c:pt idx="19">
                  <c:v>15.2</c:v>
                </c:pt>
                <c:pt idx="20">
                  <c:v>15.6</c:v>
                </c:pt>
                <c:pt idx="21">
                  <c:v>16</c:v>
                </c:pt>
                <c:pt idx="22">
                  <c:v>16.399999999999999</c:v>
                </c:pt>
                <c:pt idx="23">
                  <c:v>16.8</c:v>
                </c:pt>
                <c:pt idx="24">
                  <c:v>17.2</c:v>
                </c:pt>
                <c:pt idx="25">
                  <c:v>17.600000000000001</c:v>
                </c:pt>
                <c:pt idx="26">
                  <c:v>18</c:v>
                </c:pt>
                <c:pt idx="27">
                  <c:v>18.2</c:v>
                </c:pt>
                <c:pt idx="28">
                  <c:v>18.399999999999999</c:v>
                </c:pt>
                <c:pt idx="29">
                  <c:v>19</c:v>
                </c:pt>
                <c:pt idx="30">
                  <c:v>19.399999999999999</c:v>
                </c:pt>
                <c:pt idx="31">
                  <c:v>19.8</c:v>
                </c:pt>
                <c:pt idx="32">
                  <c:v>20</c:v>
                </c:pt>
                <c:pt idx="33">
                  <c:v>20.399999999999999</c:v>
                </c:pt>
                <c:pt idx="34">
                  <c:v>20.8</c:v>
                </c:pt>
                <c:pt idx="35">
                  <c:v>21</c:v>
                </c:pt>
                <c:pt idx="36">
                  <c:v>21.4</c:v>
                </c:pt>
                <c:pt idx="37">
                  <c:v>21.8</c:v>
                </c:pt>
                <c:pt idx="38">
                  <c:v>22.2</c:v>
                </c:pt>
                <c:pt idx="39">
                  <c:v>22.4</c:v>
                </c:pt>
                <c:pt idx="40">
                  <c:v>22.8</c:v>
                </c:pt>
                <c:pt idx="41">
                  <c:v>23.2</c:v>
                </c:pt>
                <c:pt idx="42">
                  <c:v>23.4</c:v>
                </c:pt>
                <c:pt idx="43">
                  <c:v>23.8</c:v>
                </c:pt>
                <c:pt idx="44">
                  <c:v>24.2</c:v>
                </c:pt>
                <c:pt idx="45">
                  <c:v>24.6</c:v>
                </c:pt>
                <c:pt idx="46">
                  <c:v>24.8</c:v>
                </c:pt>
                <c:pt idx="47">
                  <c:v>25.2</c:v>
                </c:pt>
                <c:pt idx="48">
                  <c:v>25.4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60-D140-8295-E752583C3EDA}"/>
            </c:ext>
          </c:extLst>
        </c:ser>
        <c:ser>
          <c:idx val="4"/>
          <c:order val="4"/>
          <c:tx>
            <c:v>"12"" Extension 2"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'Yellow Bungees'!$X$4:$X$52</c:f>
              <c:numCache>
                <c:formatCode>General</c:formatCode>
                <c:ptCount val="49"/>
                <c:pt idx="0">
                  <c:v>0</c:v>
                </c:pt>
                <c:pt idx="1">
                  <c:v>1.2699999999999999E-2</c:v>
                </c:pt>
                <c:pt idx="2">
                  <c:v>2.5399999999999999E-2</c:v>
                </c:pt>
                <c:pt idx="3">
                  <c:v>3.8099999999999995E-2</c:v>
                </c:pt>
                <c:pt idx="4">
                  <c:v>5.0799999999999998E-2</c:v>
                </c:pt>
                <c:pt idx="5">
                  <c:v>6.3500000000000001E-2</c:v>
                </c:pt>
                <c:pt idx="6">
                  <c:v>7.619999999999999E-2</c:v>
                </c:pt>
                <c:pt idx="7">
                  <c:v>8.8899999999999993E-2</c:v>
                </c:pt>
                <c:pt idx="8">
                  <c:v>0.1016</c:v>
                </c:pt>
                <c:pt idx="9">
                  <c:v>0.1143</c:v>
                </c:pt>
                <c:pt idx="10">
                  <c:v>0.127</c:v>
                </c:pt>
                <c:pt idx="11">
                  <c:v>0.13969999999999999</c:v>
                </c:pt>
                <c:pt idx="12">
                  <c:v>0.15239999999999998</c:v>
                </c:pt>
                <c:pt idx="13">
                  <c:v>0.1651</c:v>
                </c:pt>
                <c:pt idx="14">
                  <c:v>0.17779999999999999</c:v>
                </c:pt>
                <c:pt idx="15">
                  <c:v>0.1905</c:v>
                </c:pt>
                <c:pt idx="16">
                  <c:v>0.20319999999999999</c:v>
                </c:pt>
                <c:pt idx="17">
                  <c:v>0.21589999999999998</c:v>
                </c:pt>
                <c:pt idx="18">
                  <c:v>0.2286</c:v>
                </c:pt>
                <c:pt idx="19">
                  <c:v>0.24129999999999999</c:v>
                </c:pt>
                <c:pt idx="20">
                  <c:v>0.254</c:v>
                </c:pt>
                <c:pt idx="21">
                  <c:v>0.26669999999999999</c:v>
                </c:pt>
                <c:pt idx="22">
                  <c:v>0.27939999999999998</c:v>
                </c:pt>
                <c:pt idx="23">
                  <c:v>0.29209999999999997</c:v>
                </c:pt>
                <c:pt idx="24">
                  <c:v>0.30479999999999996</c:v>
                </c:pt>
                <c:pt idx="25">
                  <c:v>0.3175</c:v>
                </c:pt>
                <c:pt idx="26">
                  <c:v>0.33019999999999999</c:v>
                </c:pt>
                <c:pt idx="27">
                  <c:v>0.34289999999999998</c:v>
                </c:pt>
                <c:pt idx="28">
                  <c:v>0.35559999999999997</c:v>
                </c:pt>
                <c:pt idx="29">
                  <c:v>0.36829999999999996</c:v>
                </c:pt>
                <c:pt idx="30">
                  <c:v>0.38100000000000001</c:v>
                </c:pt>
                <c:pt idx="31">
                  <c:v>0.39369999999999999</c:v>
                </c:pt>
                <c:pt idx="32">
                  <c:v>0.40639999999999998</c:v>
                </c:pt>
                <c:pt idx="33">
                  <c:v>0.41909999999999997</c:v>
                </c:pt>
                <c:pt idx="34">
                  <c:v>0.43179999999999996</c:v>
                </c:pt>
                <c:pt idx="35">
                  <c:v>0.44450000000000001</c:v>
                </c:pt>
                <c:pt idx="36">
                  <c:v>0.4572</c:v>
                </c:pt>
                <c:pt idx="37">
                  <c:v>0.46989999999999998</c:v>
                </c:pt>
                <c:pt idx="38">
                  <c:v>0.48259999999999997</c:v>
                </c:pt>
                <c:pt idx="39">
                  <c:v>0.49529999999999996</c:v>
                </c:pt>
                <c:pt idx="40">
                  <c:v>0.50800000000000001</c:v>
                </c:pt>
                <c:pt idx="41">
                  <c:v>0.52069999999999994</c:v>
                </c:pt>
                <c:pt idx="42">
                  <c:v>0.53339999999999999</c:v>
                </c:pt>
                <c:pt idx="43">
                  <c:v>0.54610000000000003</c:v>
                </c:pt>
                <c:pt idx="44">
                  <c:v>0.55879999999999996</c:v>
                </c:pt>
                <c:pt idx="45">
                  <c:v>0.57150000000000001</c:v>
                </c:pt>
                <c:pt idx="46">
                  <c:v>0.58419999999999994</c:v>
                </c:pt>
                <c:pt idx="47">
                  <c:v>0.59689999999999999</c:v>
                </c:pt>
                <c:pt idx="48">
                  <c:v>0.60959999999999992</c:v>
                </c:pt>
              </c:numCache>
            </c:numRef>
          </c:xVal>
          <c:yVal>
            <c:numRef>
              <c:f>'Yellow Bungees'!$Y$4:$Y$52</c:f>
              <c:numCache>
                <c:formatCode>General</c:formatCode>
                <c:ptCount val="49"/>
                <c:pt idx="0">
                  <c:v>0</c:v>
                </c:pt>
                <c:pt idx="1">
                  <c:v>1.6</c:v>
                </c:pt>
                <c:pt idx="2">
                  <c:v>2.6</c:v>
                </c:pt>
                <c:pt idx="3">
                  <c:v>3.8</c:v>
                </c:pt>
                <c:pt idx="4">
                  <c:v>4.8</c:v>
                </c:pt>
                <c:pt idx="5">
                  <c:v>5.6</c:v>
                </c:pt>
                <c:pt idx="6">
                  <c:v>6.6</c:v>
                </c:pt>
                <c:pt idx="7">
                  <c:v>7.2</c:v>
                </c:pt>
                <c:pt idx="8">
                  <c:v>7.8</c:v>
                </c:pt>
                <c:pt idx="9">
                  <c:v>8.6</c:v>
                </c:pt>
                <c:pt idx="10">
                  <c:v>9.1999999999999993</c:v>
                </c:pt>
                <c:pt idx="11">
                  <c:v>9.8000000000000007</c:v>
                </c:pt>
                <c:pt idx="12">
                  <c:v>10.4</c:v>
                </c:pt>
                <c:pt idx="13">
                  <c:v>10.8</c:v>
                </c:pt>
                <c:pt idx="14">
                  <c:v>11.4</c:v>
                </c:pt>
                <c:pt idx="15">
                  <c:v>11.8</c:v>
                </c:pt>
                <c:pt idx="16">
                  <c:v>12.2</c:v>
                </c:pt>
                <c:pt idx="17">
                  <c:v>12.6</c:v>
                </c:pt>
                <c:pt idx="18">
                  <c:v>13.2</c:v>
                </c:pt>
                <c:pt idx="19">
                  <c:v>13.4</c:v>
                </c:pt>
                <c:pt idx="20">
                  <c:v>13.6</c:v>
                </c:pt>
                <c:pt idx="21">
                  <c:v>14.4</c:v>
                </c:pt>
                <c:pt idx="22">
                  <c:v>14.6</c:v>
                </c:pt>
                <c:pt idx="23">
                  <c:v>15.2</c:v>
                </c:pt>
                <c:pt idx="24">
                  <c:v>15.6</c:v>
                </c:pt>
                <c:pt idx="25">
                  <c:v>16</c:v>
                </c:pt>
                <c:pt idx="26">
                  <c:v>16.399999999999999</c:v>
                </c:pt>
                <c:pt idx="27">
                  <c:v>16.600000000000001</c:v>
                </c:pt>
                <c:pt idx="28">
                  <c:v>17</c:v>
                </c:pt>
                <c:pt idx="29">
                  <c:v>17.399999999999999</c:v>
                </c:pt>
                <c:pt idx="30">
                  <c:v>17.600000000000001</c:v>
                </c:pt>
                <c:pt idx="31">
                  <c:v>18</c:v>
                </c:pt>
                <c:pt idx="32">
                  <c:v>18.399999999999999</c:v>
                </c:pt>
                <c:pt idx="33">
                  <c:v>18.8</c:v>
                </c:pt>
                <c:pt idx="34">
                  <c:v>19.2</c:v>
                </c:pt>
                <c:pt idx="35">
                  <c:v>19.399999999999999</c:v>
                </c:pt>
                <c:pt idx="36">
                  <c:v>20.2</c:v>
                </c:pt>
                <c:pt idx="37">
                  <c:v>20.399999999999999</c:v>
                </c:pt>
                <c:pt idx="38">
                  <c:v>20.6</c:v>
                </c:pt>
                <c:pt idx="39">
                  <c:v>21</c:v>
                </c:pt>
                <c:pt idx="40">
                  <c:v>21.4</c:v>
                </c:pt>
                <c:pt idx="41">
                  <c:v>21.8</c:v>
                </c:pt>
                <c:pt idx="42">
                  <c:v>22.2</c:v>
                </c:pt>
                <c:pt idx="43">
                  <c:v>22.6</c:v>
                </c:pt>
                <c:pt idx="44">
                  <c:v>23</c:v>
                </c:pt>
                <c:pt idx="45">
                  <c:v>23.4</c:v>
                </c:pt>
                <c:pt idx="46">
                  <c:v>23.8</c:v>
                </c:pt>
                <c:pt idx="47">
                  <c:v>24.2</c:v>
                </c:pt>
                <c:pt idx="48">
                  <c:v>24.4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360-D140-8295-E752583C3EDA}"/>
            </c:ext>
          </c:extLst>
        </c:ser>
        <c:ser>
          <c:idx val="5"/>
          <c:order val="5"/>
          <c:tx>
            <c:v>"12"" Extension 3"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'Yellow Bungees'!$AC$4:$AC$52</c:f>
              <c:numCache>
                <c:formatCode>General</c:formatCode>
                <c:ptCount val="49"/>
                <c:pt idx="0">
                  <c:v>0</c:v>
                </c:pt>
                <c:pt idx="1">
                  <c:v>1.2699999999999999E-2</c:v>
                </c:pt>
                <c:pt idx="2">
                  <c:v>2.5399999999999999E-2</c:v>
                </c:pt>
                <c:pt idx="3">
                  <c:v>3.8099999999999995E-2</c:v>
                </c:pt>
                <c:pt idx="4">
                  <c:v>5.0799999999999998E-2</c:v>
                </c:pt>
                <c:pt idx="5">
                  <c:v>6.3500000000000001E-2</c:v>
                </c:pt>
                <c:pt idx="6">
                  <c:v>7.619999999999999E-2</c:v>
                </c:pt>
                <c:pt idx="7">
                  <c:v>8.8899999999999993E-2</c:v>
                </c:pt>
                <c:pt idx="8">
                  <c:v>0.1016</c:v>
                </c:pt>
                <c:pt idx="9">
                  <c:v>0.1143</c:v>
                </c:pt>
                <c:pt idx="10">
                  <c:v>0.127</c:v>
                </c:pt>
                <c:pt idx="11">
                  <c:v>0.13969999999999999</c:v>
                </c:pt>
                <c:pt idx="12">
                  <c:v>0.15239999999999998</c:v>
                </c:pt>
                <c:pt idx="13">
                  <c:v>0.1651</c:v>
                </c:pt>
                <c:pt idx="14">
                  <c:v>0.17779999999999999</c:v>
                </c:pt>
                <c:pt idx="15">
                  <c:v>0.1905</c:v>
                </c:pt>
                <c:pt idx="16">
                  <c:v>0.20319999999999999</c:v>
                </c:pt>
                <c:pt idx="17">
                  <c:v>0.21589999999999998</c:v>
                </c:pt>
                <c:pt idx="18">
                  <c:v>0.2286</c:v>
                </c:pt>
                <c:pt idx="19">
                  <c:v>0.24129999999999999</c:v>
                </c:pt>
                <c:pt idx="20">
                  <c:v>0.254</c:v>
                </c:pt>
                <c:pt idx="21">
                  <c:v>0.26669999999999999</c:v>
                </c:pt>
                <c:pt idx="22">
                  <c:v>0.27939999999999998</c:v>
                </c:pt>
                <c:pt idx="23">
                  <c:v>0.29209999999999997</c:v>
                </c:pt>
                <c:pt idx="24">
                  <c:v>0.30479999999999996</c:v>
                </c:pt>
                <c:pt idx="25">
                  <c:v>0.3175</c:v>
                </c:pt>
                <c:pt idx="26">
                  <c:v>0.33019999999999999</c:v>
                </c:pt>
                <c:pt idx="27">
                  <c:v>0.34289999999999998</c:v>
                </c:pt>
                <c:pt idx="28">
                  <c:v>0.35559999999999997</c:v>
                </c:pt>
                <c:pt idx="29">
                  <c:v>0.36829999999999996</c:v>
                </c:pt>
                <c:pt idx="30">
                  <c:v>0.38100000000000001</c:v>
                </c:pt>
                <c:pt idx="31">
                  <c:v>0.39369999999999999</c:v>
                </c:pt>
                <c:pt idx="32">
                  <c:v>0.40639999999999998</c:v>
                </c:pt>
                <c:pt idx="33">
                  <c:v>0.41909999999999997</c:v>
                </c:pt>
                <c:pt idx="34">
                  <c:v>0.43179999999999996</c:v>
                </c:pt>
                <c:pt idx="35">
                  <c:v>0.44450000000000001</c:v>
                </c:pt>
                <c:pt idx="36">
                  <c:v>0.4572</c:v>
                </c:pt>
                <c:pt idx="37">
                  <c:v>0.46989999999999998</c:v>
                </c:pt>
                <c:pt idx="38">
                  <c:v>0.48259999999999997</c:v>
                </c:pt>
                <c:pt idx="39">
                  <c:v>0.49529999999999996</c:v>
                </c:pt>
                <c:pt idx="40">
                  <c:v>0.50800000000000001</c:v>
                </c:pt>
                <c:pt idx="41">
                  <c:v>0.52069999999999994</c:v>
                </c:pt>
                <c:pt idx="42">
                  <c:v>0.53339999999999999</c:v>
                </c:pt>
                <c:pt idx="43">
                  <c:v>0.54610000000000003</c:v>
                </c:pt>
                <c:pt idx="44">
                  <c:v>0.55879999999999996</c:v>
                </c:pt>
                <c:pt idx="45">
                  <c:v>0.57150000000000001</c:v>
                </c:pt>
                <c:pt idx="46">
                  <c:v>0.58419999999999994</c:v>
                </c:pt>
                <c:pt idx="47">
                  <c:v>0.59689999999999999</c:v>
                </c:pt>
                <c:pt idx="48">
                  <c:v>0.60959999999999992</c:v>
                </c:pt>
              </c:numCache>
            </c:numRef>
          </c:xVal>
          <c:yVal>
            <c:numRef>
              <c:f>'Yellow Bungees'!$AD$4:$AD$52</c:f>
              <c:numCache>
                <c:formatCode>General</c:formatCode>
                <c:ptCount val="49"/>
                <c:pt idx="0">
                  <c:v>0</c:v>
                </c:pt>
                <c:pt idx="1">
                  <c:v>1.4</c:v>
                </c:pt>
                <c:pt idx="2">
                  <c:v>2.6</c:v>
                </c:pt>
                <c:pt idx="3">
                  <c:v>3.6</c:v>
                </c:pt>
                <c:pt idx="4">
                  <c:v>4.8</c:v>
                </c:pt>
                <c:pt idx="5">
                  <c:v>5.6</c:v>
                </c:pt>
                <c:pt idx="6">
                  <c:v>6</c:v>
                </c:pt>
                <c:pt idx="7">
                  <c:v>7</c:v>
                </c:pt>
                <c:pt idx="8">
                  <c:v>7.6</c:v>
                </c:pt>
                <c:pt idx="9">
                  <c:v>8.6</c:v>
                </c:pt>
                <c:pt idx="10">
                  <c:v>8.8000000000000007</c:v>
                </c:pt>
                <c:pt idx="11">
                  <c:v>9.6</c:v>
                </c:pt>
                <c:pt idx="12">
                  <c:v>10.199999999999999</c:v>
                </c:pt>
                <c:pt idx="13">
                  <c:v>10.8</c:v>
                </c:pt>
                <c:pt idx="14">
                  <c:v>11.2</c:v>
                </c:pt>
                <c:pt idx="15">
                  <c:v>11.6</c:v>
                </c:pt>
                <c:pt idx="16">
                  <c:v>12</c:v>
                </c:pt>
                <c:pt idx="17">
                  <c:v>12.4</c:v>
                </c:pt>
                <c:pt idx="18">
                  <c:v>12.8</c:v>
                </c:pt>
                <c:pt idx="19">
                  <c:v>13.4</c:v>
                </c:pt>
                <c:pt idx="20">
                  <c:v>13.8</c:v>
                </c:pt>
                <c:pt idx="21">
                  <c:v>14</c:v>
                </c:pt>
                <c:pt idx="22">
                  <c:v>14.6</c:v>
                </c:pt>
                <c:pt idx="23">
                  <c:v>15</c:v>
                </c:pt>
                <c:pt idx="24">
                  <c:v>15.4</c:v>
                </c:pt>
                <c:pt idx="25">
                  <c:v>15.8</c:v>
                </c:pt>
                <c:pt idx="26">
                  <c:v>16.2</c:v>
                </c:pt>
                <c:pt idx="27">
                  <c:v>16.399999999999999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17.600000000000001</c:v>
                </c:pt>
                <c:pt idx="31">
                  <c:v>18.2</c:v>
                </c:pt>
                <c:pt idx="32">
                  <c:v>18.2</c:v>
                </c:pt>
                <c:pt idx="33">
                  <c:v>18.600000000000001</c:v>
                </c:pt>
                <c:pt idx="34">
                  <c:v>19</c:v>
                </c:pt>
                <c:pt idx="35">
                  <c:v>19.399999999999999</c:v>
                </c:pt>
                <c:pt idx="36">
                  <c:v>19.600000000000001</c:v>
                </c:pt>
                <c:pt idx="37">
                  <c:v>20.2</c:v>
                </c:pt>
                <c:pt idx="38">
                  <c:v>20.8</c:v>
                </c:pt>
                <c:pt idx="39">
                  <c:v>21.2</c:v>
                </c:pt>
                <c:pt idx="40">
                  <c:v>21.4</c:v>
                </c:pt>
                <c:pt idx="41">
                  <c:v>21.6</c:v>
                </c:pt>
                <c:pt idx="42">
                  <c:v>22</c:v>
                </c:pt>
                <c:pt idx="43">
                  <c:v>22</c:v>
                </c:pt>
                <c:pt idx="44">
                  <c:v>23</c:v>
                </c:pt>
                <c:pt idx="45">
                  <c:v>23.2</c:v>
                </c:pt>
                <c:pt idx="46">
                  <c:v>23.2</c:v>
                </c:pt>
                <c:pt idx="47">
                  <c:v>23.4</c:v>
                </c:pt>
                <c:pt idx="48">
                  <c:v>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360-D140-8295-E752583C3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119807"/>
        <c:axId val="732528175"/>
      </c:scatterChart>
      <c:valAx>
        <c:axId val="732119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Extension</a:t>
                </a:r>
                <a:r>
                  <a:rPr lang="en-US" baseline="0"/>
                  <a:t>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528175"/>
        <c:crosses val="autoZero"/>
        <c:crossBetween val="midCat"/>
      </c:valAx>
      <c:valAx>
        <c:axId val="73252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</a:t>
                </a:r>
                <a:r>
                  <a:rPr lang="en-US" baseline="0"/>
                  <a:t>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119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104</xdr:row>
      <xdr:rowOff>25400</xdr:rowOff>
    </xdr:from>
    <xdr:to>
      <xdr:col>25</xdr:col>
      <xdr:colOff>685800</xdr:colOff>
      <xdr:row>160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540B8B-AB18-ED4F-91EF-9516B3494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28574</xdr:rowOff>
    </xdr:from>
    <xdr:to>
      <xdr:col>27</xdr:col>
      <xdr:colOff>371474</xdr:colOff>
      <xdr:row>50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1E234A-8734-57EB-7DF7-D4556BAFF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673100</xdr:colOff>
      <xdr:row>62</xdr:row>
      <xdr:rowOff>76200</xdr:rowOff>
    </xdr:from>
    <xdr:to>
      <xdr:col>29</xdr:col>
      <xdr:colOff>469900</xdr:colOff>
      <xdr:row>95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AD7BA4-CE60-CA2F-D576-F905BBA7C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330200</xdr:colOff>
      <xdr:row>55</xdr:row>
      <xdr:rowOff>101824</xdr:rowOff>
    </xdr:from>
    <xdr:to>
      <xdr:col>27</xdr:col>
      <xdr:colOff>139700</xdr:colOff>
      <xdr:row>88</xdr:row>
      <xdr:rowOff>139923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5D7CC5-ACE9-F246-A688-CC664009DD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56</xdr:row>
      <xdr:rowOff>145671</xdr:rowOff>
    </xdr:from>
    <xdr:to>
      <xdr:col>17</xdr:col>
      <xdr:colOff>170597</xdr:colOff>
      <xdr:row>102</xdr:row>
      <xdr:rowOff>113732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D4D42F-2C5F-E31B-71C8-7BB6863ED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457200</xdr:colOff>
      <xdr:row>65</xdr:row>
      <xdr:rowOff>25400</xdr:rowOff>
    </xdr:from>
    <xdr:to>
      <xdr:col>30</xdr:col>
      <xdr:colOff>266700</xdr:colOff>
      <xdr:row>98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F4CD9E-63E5-CD44-8187-932237D52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8467</xdr:colOff>
      <xdr:row>54</xdr:row>
      <xdr:rowOff>67734</xdr:rowOff>
    </xdr:from>
    <xdr:to>
      <xdr:col>19</xdr:col>
      <xdr:colOff>719667</xdr:colOff>
      <xdr:row>98</xdr:row>
      <xdr:rowOff>188384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35884F-BC0E-8645-B162-06E8522C0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54</xdr:row>
      <xdr:rowOff>52769</xdr:rowOff>
    </xdr:from>
    <xdr:to>
      <xdr:col>24</xdr:col>
      <xdr:colOff>780844</xdr:colOff>
      <xdr:row>112</xdr:row>
      <xdr:rowOff>152731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66AA98-109B-2C45-B7A1-1BAC43FBB9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8AA4-2CF4-EF4D-9DC2-BF3DF334CAF5}">
  <dimension ref="A1:AF101"/>
  <sheetViews>
    <sheetView tabSelected="1" topLeftCell="A10" zoomScale="50" zoomScaleNormal="25" workbookViewId="0">
      <selection activeCell="AI33" sqref="AI33"/>
    </sheetView>
  </sheetViews>
  <sheetFormatPr defaultColWidth="7.625" defaultRowHeight="15.75" x14ac:dyDescent="0.5"/>
  <sheetData>
    <row r="1" spans="1:32" x14ac:dyDescent="0.5">
      <c r="A1" s="2" t="s">
        <v>0</v>
      </c>
      <c r="B1" s="2"/>
      <c r="C1" s="2"/>
      <c r="D1" s="1"/>
      <c r="R1" s="2" t="s">
        <v>1</v>
      </c>
      <c r="S1" s="2"/>
      <c r="T1" s="2"/>
      <c r="U1" s="2"/>
      <c r="V1" s="2"/>
    </row>
    <row r="3" spans="1:32" x14ac:dyDescent="0.5">
      <c r="A3" t="s">
        <v>2</v>
      </c>
      <c r="B3" t="s">
        <v>3</v>
      </c>
      <c r="C3" t="s">
        <v>4</v>
      </c>
      <c r="D3" t="s">
        <v>19</v>
      </c>
      <c r="E3" t="s">
        <v>5</v>
      </c>
      <c r="G3" t="s">
        <v>2</v>
      </c>
      <c r="H3" t="s">
        <v>3</v>
      </c>
      <c r="I3" t="s">
        <v>4</v>
      </c>
      <c r="J3" t="s">
        <v>5</v>
      </c>
      <c r="L3" t="s">
        <v>2</v>
      </c>
      <c r="M3" t="s">
        <v>3</v>
      </c>
      <c r="N3" t="s">
        <v>4</v>
      </c>
      <c r="O3" t="s">
        <v>5</v>
      </c>
      <c r="R3" t="s">
        <v>2</v>
      </c>
      <c r="S3" t="s">
        <v>3</v>
      </c>
      <c r="T3" t="s">
        <v>4</v>
      </c>
      <c r="U3" t="s">
        <v>19</v>
      </c>
      <c r="V3" t="s">
        <v>5</v>
      </c>
      <c r="X3" t="s">
        <v>2</v>
      </c>
      <c r="Y3" t="s">
        <v>3</v>
      </c>
      <c r="Z3" t="s">
        <v>4</v>
      </c>
      <c r="AA3" t="s">
        <v>5</v>
      </c>
      <c r="AC3" t="s">
        <v>2</v>
      </c>
      <c r="AD3" t="s">
        <v>3</v>
      </c>
      <c r="AE3" t="s">
        <v>4</v>
      </c>
      <c r="AF3" t="s">
        <v>5</v>
      </c>
    </row>
    <row r="4" spans="1:32" x14ac:dyDescent="0.5">
      <c r="A4">
        <v>0</v>
      </c>
      <c r="C4">
        <v>0</v>
      </c>
      <c r="D4">
        <v>0</v>
      </c>
      <c r="E4">
        <v>0</v>
      </c>
      <c r="J4">
        <v>0</v>
      </c>
      <c r="O4">
        <v>0</v>
      </c>
      <c r="R4">
        <v>0</v>
      </c>
      <c r="T4">
        <v>0</v>
      </c>
      <c r="U4">
        <v>0</v>
      </c>
      <c r="V4">
        <v>0</v>
      </c>
      <c r="X4">
        <v>0</v>
      </c>
      <c r="Y4">
        <v>0</v>
      </c>
      <c r="Z4">
        <v>0</v>
      </c>
      <c r="AA4">
        <v>0</v>
      </c>
      <c r="AC4">
        <v>0</v>
      </c>
      <c r="AD4">
        <v>0</v>
      </c>
      <c r="AE4">
        <v>0</v>
      </c>
      <c r="AF4">
        <v>0</v>
      </c>
    </row>
    <row r="5" spans="1:32" x14ac:dyDescent="0.5">
      <c r="A5">
        <v>6</v>
      </c>
      <c r="B5">
        <f>A5-6</f>
        <v>0</v>
      </c>
      <c r="C5">
        <f>A5*0.0254</f>
        <v>0.15239999999999998</v>
      </c>
      <c r="D5">
        <f>C5/$C$5</f>
        <v>1</v>
      </c>
      <c r="E5">
        <v>0</v>
      </c>
      <c r="G5">
        <v>6</v>
      </c>
      <c r="H5">
        <f>G5-6</f>
        <v>0</v>
      </c>
      <c r="I5">
        <f>G5*0.0254</f>
        <v>0.15239999999999998</v>
      </c>
      <c r="J5">
        <v>0</v>
      </c>
      <c r="L5">
        <v>6</v>
      </c>
      <c r="M5">
        <f>L5-6</f>
        <v>0</v>
      </c>
      <c r="N5">
        <f>L5*0.0254</f>
        <v>0.15239999999999998</v>
      </c>
      <c r="O5">
        <v>0</v>
      </c>
      <c r="R5">
        <v>12</v>
      </c>
      <c r="S5">
        <f>R5-12</f>
        <v>0</v>
      </c>
      <c r="T5">
        <f>R5*0.0254</f>
        <v>0.30479999999999996</v>
      </c>
      <c r="U5">
        <f>T5/$T$5</f>
        <v>1</v>
      </c>
      <c r="V5">
        <v>0</v>
      </c>
      <c r="X5">
        <v>12</v>
      </c>
      <c r="Y5">
        <f>X5-12</f>
        <v>0</v>
      </c>
      <c r="Z5">
        <f>X5*0.0254</f>
        <v>0.30479999999999996</v>
      </c>
      <c r="AA5">
        <v>0</v>
      </c>
      <c r="AC5">
        <v>12</v>
      </c>
      <c r="AD5">
        <f>AC5-12</f>
        <v>0</v>
      </c>
      <c r="AE5">
        <f>AC5*0.0254</f>
        <v>0.30479999999999996</v>
      </c>
      <c r="AF5">
        <v>0</v>
      </c>
    </row>
    <row r="6" spans="1:32" x14ac:dyDescent="0.5">
      <c r="A6">
        <f>A5+0.25</f>
        <v>6.25</v>
      </c>
      <c r="B6">
        <f>A6-6</f>
        <v>0.25</v>
      </c>
      <c r="C6">
        <f t="shared" ref="C6:C53" si="0">A6*0.0254</f>
        <v>0.15875</v>
      </c>
      <c r="D6">
        <f t="shared" ref="D6:D53" si="1">C6/$C$5</f>
        <v>1.0416666666666667</v>
      </c>
      <c r="E6">
        <v>1</v>
      </c>
      <c r="G6">
        <f>G5+0.25</f>
        <v>6.25</v>
      </c>
      <c r="H6">
        <f t="shared" ref="H6:H53" si="2">G6-6</f>
        <v>0.25</v>
      </c>
      <c r="I6">
        <f t="shared" ref="I6:I53" si="3">H6*0.0254</f>
        <v>6.3499999999999997E-3</v>
      </c>
      <c r="J6">
        <v>0.6</v>
      </c>
      <c r="L6">
        <f>L5+0.25</f>
        <v>6.25</v>
      </c>
      <c r="M6">
        <f t="shared" ref="M6:M53" si="4">L6-6</f>
        <v>0.25</v>
      </c>
      <c r="N6">
        <f t="shared" ref="N5:N53" si="5">M6*0.0254</f>
        <v>6.3499999999999997E-3</v>
      </c>
      <c r="O6">
        <v>0.6</v>
      </c>
      <c r="R6">
        <f>R5+0.25</f>
        <v>12.25</v>
      </c>
      <c r="S6">
        <f t="shared" ref="S6:S69" si="6">R6-12</f>
        <v>0.25</v>
      </c>
      <c r="T6">
        <f t="shared" ref="T6:T69" si="7">R6*0.0254</f>
        <v>0.31114999999999998</v>
      </c>
      <c r="U6">
        <f t="shared" ref="U6:U69" si="8">T6/$T$5</f>
        <v>1.0208333333333335</v>
      </c>
      <c r="V6">
        <v>0.4</v>
      </c>
      <c r="X6">
        <f>X5+0.25</f>
        <v>12.25</v>
      </c>
      <c r="Y6">
        <f t="shared" ref="Y6:Y69" si="9">X6-12</f>
        <v>0.25</v>
      </c>
      <c r="Z6">
        <f t="shared" ref="Z6:Z69" si="10">Y6*0.0254</f>
        <v>6.3499999999999997E-3</v>
      </c>
      <c r="AA6">
        <v>0.4</v>
      </c>
      <c r="AC6">
        <f>AC5+0.25</f>
        <v>12.25</v>
      </c>
      <c r="AD6">
        <f t="shared" ref="AD6:AD69" si="11">AC6-12</f>
        <v>0.25</v>
      </c>
      <c r="AE6">
        <f t="shared" ref="AE6:AE69" si="12">AD6*0.0254</f>
        <v>6.3499999999999997E-3</v>
      </c>
      <c r="AF6">
        <v>0.6</v>
      </c>
    </row>
    <row r="7" spans="1:32" x14ac:dyDescent="0.5">
      <c r="A7">
        <f t="shared" ref="A7:A46" si="13">A6+0.25</f>
        <v>6.5</v>
      </c>
      <c r="B7">
        <f>A7-6</f>
        <v>0.5</v>
      </c>
      <c r="C7">
        <f t="shared" si="0"/>
        <v>0.1651</v>
      </c>
      <c r="D7">
        <f t="shared" si="1"/>
        <v>1.0833333333333335</v>
      </c>
      <c r="E7">
        <v>1.4</v>
      </c>
      <c r="G7">
        <f t="shared" ref="G7:G46" si="14">G6+0.25</f>
        <v>6.5</v>
      </c>
      <c r="H7">
        <f t="shared" si="2"/>
        <v>0.5</v>
      </c>
      <c r="I7">
        <f t="shared" si="3"/>
        <v>1.2699999999999999E-2</v>
      </c>
      <c r="J7">
        <v>1</v>
      </c>
      <c r="L7">
        <f t="shared" ref="L7:L46" si="15">L6+0.25</f>
        <v>6.5</v>
      </c>
      <c r="M7">
        <f t="shared" si="4"/>
        <v>0.5</v>
      </c>
      <c r="N7">
        <f t="shared" si="5"/>
        <v>1.2699999999999999E-2</v>
      </c>
      <c r="O7">
        <v>1</v>
      </c>
      <c r="R7">
        <f>R6+0.25</f>
        <v>12.5</v>
      </c>
      <c r="S7">
        <f t="shared" si="6"/>
        <v>0.5</v>
      </c>
      <c r="T7">
        <f t="shared" si="7"/>
        <v>0.3175</v>
      </c>
      <c r="U7">
        <f t="shared" si="8"/>
        <v>1.0416666666666667</v>
      </c>
      <c r="V7">
        <v>0.6</v>
      </c>
      <c r="X7">
        <f>X6+0.25</f>
        <v>12.5</v>
      </c>
      <c r="Y7">
        <f t="shared" si="9"/>
        <v>0.5</v>
      </c>
      <c r="Z7">
        <f t="shared" si="10"/>
        <v>1.2699999999999999E-2</v>
      </c>
      <c r="AA7">
        <v>0.8</v>
      </c>
      <c r="AC7">
        <f>AC6+0.25</f>
        <v>12.5</v>
      </c>
      <c r="AD7">
        <f t="shared" si="11"/>
        <v>0.5</v>
      </c>
      <c r="AE7">
        <f t="shared" si="12"/>
        <v>1.2699999999999999E-2</v>
      </c>
      <c r="AF7">
        <v>1</v>
      </c>
    </row>
    <row r="8" spans="1:32" x14ac:dyDescent="0.5">
      <c r="A8">
        <f t="shared" si="13"/>
        <v>6.75</v>
      </c>
      <c r="B8">
        <f>A8-6</f>
        <v>0.75</v>
      </c>
      <c r="C8">
        <f t="shared" si="0"/>
        <v>0.17144999999999999</v>
      </c>
      <c r="D8">
        <f t="shared" si="1"/>
        <v>1.125</v>
      </c>
      <c r="E8">
        <v>2.2000000000000002</v>
      </c>
      <c r="G8">
        <f t="shared" si="14"/>
        <v>6.75</v>
      </c>
      <c r="H8">
        <f t="shared" si="2"/>
        <v>0.75</v>
      </c>
      <c r="I8">
        <f t="shared" si="3"/>
        <v>1.9049999999999997E-2</v>
      </c>
      <c r="J8">
        <v>1.4</v>
      </c>
      <c r="L8">
        <f t="shared" si="15"/>
        <v>6.75</v>
      </c>
      <c r="M8">
        <f t="shared" si="4"/>
        <v>0.75</v>
      </c>
      <c r="N8">
        <f t="shared" si="5"/>
        <v>1.9049999999999997E-2</v>
      </c>
      <c r="O8">
        <v>1.8</v>
      </c>
      <c r="R8">
        <f t="shared" ref="R8:R71" si="16">R7+0.25</f>
        <v>12.75</v>
      </c>
      <c r="S8">
        <f t="shared" si="6"/>
        <v>0.75</v>
      </c>
      <c r="T8">
        <f t="shared" si="7"/>
        <v>0.32384999999999997</v>
      </c>
      <c r="U8">
        <f t="shared" si="8"/>
        <v>1.0625</v>
      </c>
      <c r="V8">
        <v>0.8</v>
      </c>
      <c r="X8">
        <f t="shared" ref="X8:X71" si="17">X7+0.25</f>
        <v>12.75</v>
      </c>
      <c r="Y8">
        <f t="shared" si="9"/>
        <v>0.75</v>
      </c>
      <c r="Z8">
        <f t="shared" si="10"/>
        <v>1.9049999999999997E-2</v>
      </c>
      <c r="AA8">
        <v>1</v>
      </c>
      <c r="AC8">
        <f t="shared" ref="AC8:AC71" si="18">AC7+0.25</f>
        <v>12.75</v>
      </c>
      <c r="AD8">
        <f t="shared" si="11"/>
        <v>0.75</v>
      </c>
      <c r="AE8">
        <f t="shared" si="12"/>
        <v>1.9049999999999997E-2</v>
      </c>
      <c r="AF8">
        <v>1.2</v>
      </c>
    </row>
    <row r="9" spans="1:32" x14ac:dyDescent="0.5">
      <c r="A9">
        <f t="shared" si="13"/>
        <v>7</v>
      </c>
      <c r="B9">
        <f>A9-6</f>
        <v>1</v>
      </c>
      <c r="C9">
        <f t="shared" si="0"/>
        <v>0.17779999999999999</v>
      </c>
      <c r="D9">
        <f t="shared" si="1"/>
        <v>1.1666666666666667</v>
      </c>
      <c r="E9">
        <v>2.2000000000000002</v>
      </c>
      <c r="G9">
        <f t="shared" si="14"/>
        <v>7</v>
      </c>
      <c r="H9">
        <f t="shared" si="2"/>
        <v>1</v>
      </c>
      <c r="I9">
        <f t="shared" si="3"/>
        <v>2.5399999999999999E-2</v>
      </c>
      <c r="J9">
        <v>2</v>
      </c>
      <c r="L9">
        <f t="shared" si="15"/>
        <v>7</v>
      </c>
      <c r="M9">
        <f t="shared" si="4"/>
        <v>1</v>
      </c>
      <c r="N9">
        <f t="shared" si="5"/>
        <v>2.5399999999999999E-2</v>
      </c>
      <c r="O9">
        <v>2</v>
      </c>
      <c r="R9">
        <f t="shared" si="16"/>
        <v>13</v>
      </c>
      <c r="S9">
        <f t="shared" si="6"/>
        <v>1</v>
      </c>
      <c r="T9">
        <f t="shared" si="7"/>
        <v>0.33019999999999999</v>
      </c>
      <c r="U9">
        <f t="shared" si="8"/>
        <v>1.0833333333333335</v>
      </c>
      <c r="V9">
        <v>1.2</v>
      </c>
      <c r="X9">
        <f t="shared" si="17"/>
        <v>13</v>
      </c>
      <c r="Y9">
        <f t="shared" si="9"/>
        <v>1</v>
      </c>
      <c r="Z9">
        <f t="shared" si="10"/>
        <v>2.5399999999999999E-2</v>
      </c>
      <c r="AA9">
        <v>1.2</v>
      </c>
      <c r="AC9">
        <f t="shared" si="18"/>
        <v>13</v>
      </c>
      <c r="AD9">
        <f t="shared" si="11"/>
        <v>1</v>
      </c>
      <c r="AE9">
        <f t="shared" si="12"/>
        <v>2.5399999999999999E-2</v>
      </c>
      <c r="AF9">
        <v>1.4</v>
      </c>
    </row>
    <row r="10" spans="1:32" x14ac:dyDescent="0.5">
      <c r="A10">
        <f t="shared" si="13"/>
        <v>7.25</v>
      </c>
      <c r="B10">
        <f>A10-6</f>
        <v>1.25</v>
      </c>
      <c r="C10">
        <f t="shared" si="0"/>
        <v>0.18414999999999998</v>
      </c>
      <c r="D10">
        <f t="shared" si="1"/>
        <v>1.2083333333333333</v>
      </c>
      <c r="E10">
        <v>2.8</v>
      </c>
      <c r="G10">
        <f t="shared" si="14"/>
        <v>7.25</v>
      </c>
      <c r="H10">
        <f t="shared" si="2"/>
        <v>1.25</v>
      </c>
      <c r="I10">
        <f t="shared" si="3"/>
        <v>3.175E-2</v>
      </c>
      <c r="J10">
        <v>2.4</v>
      </c>
      <c r="L10">
        <f t="shared" si="15"/>
        <v>7.25</v>
      </c>
      <c r="M10">
        <f t="shared" si="4"/>
        <v>1.25</v>
      </c>
      <c r="N10">
        <f t="shared" si="5"/>
        <v>3.175E-2</v>
      </c>
      <c r="O10">
        <v>2.4</v>
      </c>
      <c r="R10">
        <f t="shared" si="16"/>
        <v>13.25</v>
      </c>
      <c r="S10">
        <f t="shared" si="6"/>
        <v>1.25</v>
      </c>
      <c r="T10">
        <f t="shared" si="7"/>
        <v>0.33654999999999996</v>
      </c>
      <c r="U10">
        <f t="shared" si="8"/>
        <v>1.1041666666666667</v>
      </c>
      <c r="V10">
        <v>1.4</v>
      </c>
      <c r="X10">
        <f t="shared" si="17"/>
        <v>13.25</v>
      </c>
      <c r="Y10">
        <f t="shared" si="9"/>
        <v>1.25</v>
      </c>
      <c r="Z10">
        <f t="shared" si="10"/>
        <v>3.175E-2</v>
      </c>
      <c r="AA10">
        <v>1.4</v>
      </c>
      <c r="AC10">
        <f t="shared" si="18"/>
        <v>13.25</v>
      </c>
      <c r="AD10">
        <f t="shared" si="11"/>
        <v>1.25</v>
      </c>
      <c r="AE10">
        <f t="shared" si="12"/>
        <v>3.175E-2</v>
      </c>
      <c r="AF10">
        <v>1.4</v>
      </c>
    </row>
    <row r="11" spans="1:32" x14ac:dyDescent="0.5">
      <c r="A11">
        <f t="shared" si="13"/>
        <v>7.5</v>
      </c>
      <c r="B11">
        <f>A11-6</f>
        <v>1.5</v>
      </c>
      <c r="C11">
        <f t="shared" si="0"/>
        <v>0.1905</v>
      </c>
      <c r="D11">
        <f t="shared" si="1"/>
        <v>1.2500000000000002</v>
      </c>
      <c r="E11">
        <v>3</v>
      </c>
      <c r="G11">
        <f t="shared" si="14"/>
        <v>7.5</v>
      </c>
      <c r="H11">
        <f t="shared" si="2"/>
        <v>1.5</v>
      </c>
      <c r="I11">
        <f t="shared" si="3"/>
        <v>3.8099999999999995E-2</v>
      </c>
      <c r="J11">
        <v>2.8</v>
      </c>
      <c r="L11">
        <f t="shared" si="15"/>
        <v>7.5</v>
      </c>
      <c r="M11">
        <f t="shared" si="4"/>
        <v>1.5</v>
      </c>
      <c r="N11">
        <f t="shared" si="5"/>
        <v>3.8099999999999995E-2</v>
      </c>
      <c r="O11">
        <v>2.8</v>
      </c>
      <c r="R11">
        <f t="shared" si="16"/>
        <v>13.5</v>
      </c>
      <c r="S11">
        <f t="shared" si="6"/>
        <v>1.5</v>
      </c>
      <c r="T11">
        <f t="shared" si="7"/>
        <v>0.34289999999999998</v>
      </c>
      <c r="U11">
        <f t="shared" si="8"/>
        <v>1.125</v>
      </c>
      <c r="V11">
        <v>1.6</v>
      </c>
      <c r="X11">
        <f t="shared" si="17"/>
        <v>13.5</v>
      </c>
      <c r="Y11">
        <f t="shared" si="9"/>
        <v>1.5</v>
      </c>
      <c r="Z11">
        <f t="shared" si="10"/>
        <v>3.8099999999999995E-2</v>
      </c>
      <c r="AA11">
        <v>1.6</v>
      </c>
      <c r="AC11">
        <f t="shared" si="18"/>
        <v>13.5</v>
      </c>
      <c r="AD11">
        <f t="shared" si="11"/>
        <v>1.5</v>
      </c>
      <c r="AE11">
        <f t="shared" si="12"/>
        <v>3.8099999999999995E-2</v>
      </c>
      <c r="AF11">
        <v>1.8</v>
      </c>
    </row>
    <row r="12" spans="1:32" x14ac:dyDescent="0.5">
      <c r="A12">
        <f t="shared" si="13"/>
        <v>7.75</v>
      </c>
      <c r="B12">
        <f>A12-6</f>
        <v>1.75</v>
      </c>
      <c r="C12">
        <f t="shared" si="0"/>
        <v>0.19685</v>
      </c>
      <c r="D12">
        <f t="shared" si="1"/>
        <v>1.2916666666666667</v>
      </c>
      <c r="E12">
        <v>3.6</v>
      </c>
      <c r="G12">
        <f t="shared" si="14"/>
        <v>7.75</v>
      </c>
      <c r="H12">
        <f t="shared" si="2"/>
        <v>1.75</v>
      </c>
      <c r="I12">
        <f t="shared" si="3"/>
        <v>4.4449999999999996E-2</v>
      </c>
      <c r="J12">
        <v>3.2</v>
      </c>
      <c r="L12">
        <f t="shared" si="15"/>
        <v>7.75</v>
      </c>
      <c r="M12">
        <f t="shared" si="4"/>
        <v>1.75</v>
      </c>
      <c r="N12">
        <f t="shared" si="5"/>
        <v>4.4449999999999996E-2</v>
      </c>
      <c r="O12">
        <v>3.2</v>
      </c>
      <c r="R12">
        <f t="shared" si="16"/>
        <v>13.75</v>
      </c>
      <c r="S12">
        <f t="shared" si="6"/>
        <v>1.75</v>
      </c>
      <c r="T12">
        <f t="shared" si="7"/>
        <v>0.34925</v>
      </c>
      <c r="U12">
        <f t="shared" si="8"/>
        <v>1.1458333333333335</v>
      </c>
      <c r="V12">
        <v>1.8</v>
      </c>
      <c r="X12">
        <f t="shared" si="17"/>
        <v>13.75</v>
      </c>
      <c r="Y12">
        <f t="shared" si="9"/>
        <v>1.75</v>
      </c>
      <c r="Z12">
        <f t="shared" si="10"/>
        <v>4.4449999999999996E-2</v>
      </c>
      <c r="AA12">
        <v>2</v>
      </c>
      <c r="AC12">
        <f t="shared" si="18"/>
        <v>13.75</v>
      </c>
      <c r="AD12">
        <f t="shared" si="11"/>
        <v>1.75</v>
      </c>
      <c r="AE12">
        <f t="shared" si="12"/>
        <v>4.4449999999999996E-2</v>
      </c>
      <c r="AF12">
        <v>2</v>
      </c>
    </row>
    <row r="13" spans="1:32" x14ac:dyDescent="0.5">
      <c r="A13">
        <f t="shared" si="13"/>
        <v>8</v>
      </c>
      <c r="B13">
        <f>A13-6</f>
        <v>2</v>
      </c>
      <c r="C13">
        <f t="shared" si="0"/>
        <v>0.20319999999999999</v>
      </c>
      <c r="D13">
        <f t="shared" si="1"/>
        <v>1.3333333333333335</v>
      </c>
      <c r="E13">
        <v>4</v>
      </c>
      <c r="G13">
        <f t="shared" si="14"/>
        <v>8</v>
      </c>
      <c r="H13">
        <f t="shared" si="2"/>
        <v>2</v>
      </c>
      <c r="I13">
        <f t="shared" si="3"/>
        <v>5.0799999999999998E-2</v>
      </c>
      <c r="J13">
        <v>3.6</v>
      </c>
      <c r="L13">
        <f t="shared" si="15"/>
        <v>8</v>
      </c>
      <c r="M13">
        <f t="shared" si="4"/>
        <v>2</v>
      </c>
      <c r="N13">
        <f t="shared" si="5"/>
        <v>5.0799999999999998E-2</v>
      </c>
      <c r="O13">
        <v>3.6</v>
      </c>
      <c r="R13">
        <f t="shared" si="16"/>
        <v>14</v>
      </c>
      <c r="S13">
        <f t="shared" si="6"/>
        <v>2</v>
      </c>
      <c r="T13">
        <f t="shared" si="7"/>
        <v>0.35559999999999997</v>
      </c>
      <c r="U13">
        <f t="shared" si="8"/>
        <v>1.1666666666666667</v>
      </c>
      <c r="V13">
        <v>2</v>
      </c>
      <c r="X13">
        <f t="shared" si="17"/>
        <v>14</v>
      </c>
      <c r="Y13">
        <f t="shared" si="9"/>
        <v>2</v>
      </c>
      <c r="Z13">
        <f t="shared" si="10"/>
        <v>5.0799999999999998E-2</v>
      </c>
      <c r="AA13">
        <v>2</v>
      </c>
      <c r="AC13">
        <f t="shared" si="18"/>
        <v>14</v>
      </c>
      <c r="AD13">
        <f t="shared" si="11"/>
        <v>2</v>
      </c>
      <c r="AE13">
        <f t="shared" si="12"/>
        <v>5.0799999999999998E-2</v>
      </c>
      <c r="AF13">
        <v>2.2000000000000002</v>
      </c>
    </row>
    <row r="14" spans="1:32" x14ac:dyDescent="0.5">
      <c r="A14">
        <f t="shared" si="13"/>
        <v>8.25</v>
      </c>
      <c r="B14">
        <f>A14-6</f>
        <v>2.25</v>
      </c>
      <c r="C14">
        <f t="shared" si="0"/>
        <v>0.20954999999999999</v>
      </c>
      <c r="D14">
        <f t="shared" si="1"/>
        <v>1.375</v>
      </c>
      <c r="E14">
        <v>4.2</v>
      </c>
      <c r="G14">
        <f t="shared" si="14"/>
        <v>8.25</v>
      </c>
      <c r="H14">
        <f t="shared" si="2"/>
        <v>2.25</v>
      </c>
      <c r="I14">
        <f t="shared" si="3"/>
        <v>5.7149999999999999E-2</v>
      </c>
      <c r="J14">
        <v>3.8</v>
      </c>
      <c r="L14">
        <f t="shared" si="15"/>
        <v>8.25</v>
      </c>
      <c r="M14">
        <f t="shared" si="4"/>
        <v>2.25</v>
      </c>
      <c r="N14">
        <f t="shared" si="5"/>
        <v>5.7149999999999999E-2</v>
      </c>
      <c r="O14">
        <v>3.8</v>
      </c>
      <c r="R14">
        <f t="shared" si="16"/>
        <v>14.25</v>
      </c>
      <c r="S14">
        <f t="shared" si="6"/>
        <v>2.25</v>
      </c>
      <c r="T14">
        <f t="shared" si="7"/>
        <v>0.36194999999999999</v>
      </c>
      <c r="U14">
        <f t="shared" si="8"/>
        <v>1.1875000000000002</v>
      </c>
      <c r="V14">
        <v>2.4</v>
      </c>
      <c r="X14">
        <f t="shared" si="17"/>
        <v>14.25</v>
      </c>
      <c r="Y14">
        <f t="shared" si="9"/>
        <v>2.25</v>
      </c>
      <c r="Z14">
        <f t="shared" si="10"/>
        <v>5.7149999999999999E-2</v>
      </c>
      <c r="AA14">
        <v>2.4</v>
      </c>
      <c r="AC14">
        <f t="shared" si="18"/>
        <v>14.25</v>
      </c>
      <c r="AD14">
        <f t="shared" si="11"/>
        <v>2.25</v>
      </c>
      <c r="AE14">
        <f t="shared" si="12"/>
        <v>5.7149999999999999E-2</v>
      </c>
      <c r="AF14">
        <v>2.4</v>
      </c>
    </row>
    <row r="15" spans="1:32" x14ac:dyDescent="0.5">
      <c r="A15">
        <f t="shared" si="13"/>
        <v>8.5</v>
      </c>
      <c r="B15">
        <f>A15-6</f>
        <v>2.5</v>
      </c>
      <c r="C15">
        <f t="shared" si="0"/>
        <v>0.21589999999999998</v>
      </c>
      <c r="D15">
        <f t="shared" si="1"/>
        <v>1.4166666666666667</v>
      </c>
      <c r="E15">
        <v>4.5999999999999996</v>
      </c>
      <c r="G15">
        <f t="shared" si="14"/>
        <v>8.5</v>
      </c>
      <c r="H15">
        <f t="shared" si="2"/>
        <v>2.5</v>
      </c>
      <c r="I15">
        <f t="shared" si="3"/>
        <v>6.3500000000000001E-2</v>
      </c>
      <c r="J15">
        <v>4.2</v>
      </c>
      <c r="L15">
        <f t="shared" si="15"/>
        <v>8.5</v>
      </c>
      <c r="M15">
        <f t="shared" si="4"/>
        <v>2.5</v>
      </c>
      <c r="N15">
        <f t="shared" si="5"/>
        <v>6.3500000000000001E-2</v>
      </c>
      <c r="O15">
        <v>4.2</v>
      </c>
      <c r="R15">
        <f t="shared" si="16"/>
        <v>14.5</v>
      </c>
      <c r="S15">
        <f t="shared" si="6"/>
        <v>2.5</v>
      </c>
      <c r="T15">
        <f t="shared" si="7"/>
        <v>0.36829999999999996</v>
      </c>
      <c r="U15">
        <f t="shared" si="8"/>
        <v>1.2083333333333333</v>
      </c>
      <c r="V15">
        <v>2.4</v>
      </c>
      <c r="X15">
        <f t="shared" si="17"/>
        <v>14.5</v>
      </c>
      <c r="Y15">
        <f t="shared" si="9"/>
        <v>2.5</v>
      </c>
      <c r="Z15">
        <f t="shared" si="10"/>
        <v>6.3500000000000001E-2</v>
      </c>
      <c r="AA15">
        <v>2.6</v>
      </c>
      <c r="AC15">
        <f t="shared" si="18"/>
        <v>14.5</v>
      </c>
      <c r="AD15">
        <f t="shared" si="11"/>
        <v>2.5</v>
      </c>
      <c r="AE15">
        <f t="shared" si="12"/>
        <v>6.3500000000000001E-2</v>
      </c>
      <c r="AF15">
        <v>2.6</v>
      </c>
    </row>
    <row r="16" spans="1:32" x14ac:dyDescent="0.5">
      <c r="A16">
        <f t="shared" si="13"/>
        <v>8.75</v>
      </c>
      <c r="B16">
        <f>A16-6</f>
        <v>2.75</v>
      </c>
      <c r="C16">
        <f t="shared" si="0"/>
        <v>0.22225</v>
      </c>
      <c r="D16">
        <f t="shared" si="1"/>
        <v>1.4583333333333335</v>
      </c>
      <c r="E16">
        <v>4.8</v>
      </c>
      <c r="G16">
        <f t="shared" si="14"/>
        <v>8.75</v>
      </c>
      <c r="H16">
        <f t="shared" si="2"/>
        <v>2.75</v>
      </c>
      <c r="I16">
        <f t="shared" si="3"/>
        <v>6.9849999999999995E-2</v>
      </c>
      <c r="J16">
        <v>4.4000000000000004</v>
      </c>
      <c r="L16">
        <f t="shared" si="15"/>
        <v>8.75</v>
      </c>
      <c r="M16">
        <f t="shared" si="4"/>
        <v>2.75</v>
      </c>
      <c r="N16">
        <f t="shared" si="5"/>
        <v>6.9849999999999995E-2</v>
      </c>
      <c r="O16">
        <v>4.4000000000000004</v>
      </c>
      <c r="R16">
        <f t="shared" si="16"/>
        <v>14.75</v>
      </c>
      <c r="S16">
        <f t="shared" si="6"/>
        <v>2.75</v>
      </c>
      <c r="T16">
        <f t="shared" si="7"/>
        <v>0.37464999999999998</v>
      </c>
      <c r="U16">
        <f t="shared" si="8"/>
        <v>1.2291666666666667</v>
      </c>
      <c r="V16">
        <v>2.6</v>
      </c>
      <c r="X16">
        <f t="shared" si="17"/>
        <v>14.75</v>
      </c>
      <c r="Y16">
        <f t="shared" si="9"/>
        <v>2.75</v>
      </c>
      <c r="Z16">
        <f t="shared" si="10"/>
        <v>6.9849999999999995E-2</v>
      </c>
      <c r="AA16">
        <v>2.8</v>
      </c>
      <c r="AC16">
        <f t="shared" si="18"/>
        <v>14.75</v>
      </c>
      <c r="AD16">
        <f t="shared" si="11"/>
        <v>2.75</v>
      </c>
      <c r="AE16">
        <f t="shared" si="12"/>
        <v>6.9849999999999995E-2</v>
      </c>
      <c r="AF16">
        <v>2.8</v>
      </c>
    </row>
    <row r="17" spans="1:32" x14ac:dyDescent="0.5">
      <c r="A17">
        <f t="shared" si="13"/>
        <v>9</v>
      </c>
      <c r="B17">
        <f>A17-6</f>
        <v>3</v>
      </c>
      <c r="C17">
        <f t="shared" si="0"/>
        <v>0.2286</v>
      </c>
      <c r="D17">
        <f t="shared" si="1"/>
        <v>1.5000000000000002</v>
      </c>
      <c r="E17">
        <v>5</v>
      </c>
      <c r="G17">
        <f t="shared" si="14"/>
        <v>9</v>
      </c>
      <c r="H17">
        <f t="shared" si="2"/>
        <v>3</v>
      </c>
      <c r="I17">
        <f t="shared" si="3"/>
        <v>7.619999999999999E-2</v>
      </c>
      <c r="J17">
        <v>4.5999999999999996</v>
      </c>
      <c r="L17">
        <f t="shared" si="15"/>
        <v>9</v>
      </c>
      <c r="M17">
        <f t="shared" si="4"/>
        <v>3</v>
      </c>
      <c r="N17">
        <f t="shared" si="5"/>
        <v>7.619999999999999E-2</v>
      </c>
      <c r="O17">
        <v>4.5999999999999996</v>
      </c>
      <c r="R17">
        <f t="shared" si="16"/>
        <v>15</v>
      </c>
      <c r="S17">
        <f t="shared" si="6"/>
        <v>3</v>
      </c>
      <c r="T17">
        <f t="shared" si="7"/>
        <v>0.38100000000000001</v>
      </c>
      <c r="U17">
        <f t="shared" si="8"/>
        <v>1.2500000000000002</v>
      </c>
      <c r="V17">
        <v>2.8</v>
      </c>
      <c r="X17">
        <f t="shared" si="17"/>
        <v>15</v>
      </c>
      <c r="Y17">
        <f t="shared" si="9"/>
        <v>3</v>
      </c>
      <c r="Z17">
        <f t="shared" si="10"/>
        <v>7.619999999999999E-2</v>
      </c>
      <c r="AA17">
        <v>3</v>
      </c>
      <c r="AC17">
        <f t="shared" si="18"/>
        <v>15</v>
      </c>
      <c r="AD17">
        <f t="shared" si="11"/>
        <v>3</v>
      </c>
      <c r="AE17">
        <f t="shared" si="12"/>
        <v>7.619999999999999E-2</v>
      </c>
      <c r="AF17">
        <v>3</v>
      </c>
    </row>
    <row r="18" spans="1:32" x14ac:dyDescent="0.5">
      <c r="A18">
        <f t="shared" si="13"/>
        <v>9.25</v>
      </c>
      <c r="B18">
        <f>A18-6</f>
        <v>3.25</v>
      </c>
      <c r="C18">
        <f t="shared" si="0"/>
        <v>0.23494999999999999</v>
      </c>
      <c r="D18">
        <f t="shared" si="1"/>
        <v>1.5416666666666667</v>
      </c>
      <c r="E18">
        <v>5.2</v>
      </c>
      <c r="G18">
        <f t="shared" si="14"/>
        <v>9.25</v>
      </c>
      <c r="H18">
        <f t="shared" si="2"/>
        <v>3.25</v>
      </c>
      <c r="I18">
        <f t="shared" si="3"/>
        <v>8.2549999999999998E-2</v>
      </c>
      <c r="J18">
        <v>5</v>
      </c>
      <c r="L18">
        <f t="shared" si="15"/>
        <v>9.25</v>
      </c>
      <c r="M18">
        <f t="shared" si="4"/>
        <v>3.25</v>
      </c>
      <c r="N18">
        <f t="shared" si="5"/>
        <v>8.2549999999999998E-2</v>
      </c>
      <c r="O18">
        <v>5</v>
      </c>
      <c r="R18">
        <f t="shared" si="16"/>
        <v>15.25</v>
      </c>
      <c r="S18">
        <f t="shared" si="6"/>
        <v>3.25</v>
      </c>
      <c r="T18">
        <f t="shared" si="7"/>
        <v>0.38734999999999997</v>
      </c>
      <c r="U18">
        <f t="shared" si="8"/>
        <v>1.2708333333333335</v>
      </c>
      <c r="V18">
        <v>3</v>
      </c>
      <c r="X18">
        <f t="shared" si="17"/>
        <v>15.25</v>
      </c>
      <c r="Y18">
        <f t="shared" si="9"/>
        <v>3.25</v>
      </c>
      <c r="Z18">
        <f t="shared" si="10"/>
        <v>8.2549999999999998E-2</v>
      </c>
      <c r="AA18">
        <v>3.2</v>
      </c>
      <c r="AC18">
        <f t="shared" si="18"/>
        <v>15.25</v>
      </c>
      <c r="AD18">
        <f t="shared" si="11"/>
        <v>3.25</v>
      </c>
      <c r="AE18">
        <f t="shared" si="12"/>
        <v>8.2549999999999998E-2</v>
      </c>
      <c r="AF18">
        <v>3.2</v>
      </c>
    </row>
    <row r="19" spans="1:32" x14ac:dyDescent="0.5">
      <c r="A19">
        <f t="shared" si="13"/>
        <v>9.5</v>
      </c>
      <c r="B19">
        <f>A19-6</f>
        <v>3.5</v>
      </c>
      <c r="C19">
        <f t="shared" si="0"/>
        <v>0.24129999999999999</v>
      </c>
      <c r="D19">
        <f t="shared" si="1"/>
        <v>1.5833333333333335</v>
      </c>
      <c r="E19">
        <v>5.6</v>
      </c>
      <c r="G19">
        <f t="shared" si="14"/>
        <v>9.5</v>
      </c>
      <c r="H19">
        <f t="shared" si="2"/>
        <v>3.5</v>
      </c>
      <c r="I19">
        <f t="shared" si="3"/>
        <v>8.8899999999999993E-2</v>
      </c>
      <c r="J19">
        <v>5.2</v>
      </c>
      <c r="L19">
        <f t="shared" si="15"/>
        <v>9.5</v>
      </c>
      <c r="M19">
        <f t="shared" si="4"/>
        <v>3.5</v>
      </c>
      <c r="N19">
        <f t="shared" si="5"/>
        <v>8.8899999999999993E-2</v>
      </c>
      <c r="O19">
        <v>5.2</v>
      </c>
      <c r="R19">
        <f t="shared" si="16"/>
        <v>15.5</v>
      </c>
      <c r="S19">
        <f t="shared" si="6"/>
        <v>3.5</v>
      </c>
      <c r="T19">
        <f t="shared" si="7"/>
        <v>0.39369999999999999</v>
      </c>
      <c r="U19">
        <f t="shared" si="8"/>
        <v>1.2916666666666667</v>
      </c>
      <c r="V19">
        <v>3.2</v>
      </c>
      <c r="X19">
        <f t="shared" si="17"/>
        <v>15.5</v>
      </c>
      <c r="Y19">
        <f t="shared" si="9"/>
        <v>3.5</v>
      </c>
      <c r="Z19">
        <f t="shared" si="10"/>
        <v>8.8899999999999993E-2</v>
      </c>
      <c r="AA19">
        <v>3.4</v>
      </c>
      <c r="AC19">
        <f t="shared" si="18"/>
        <v>15.5</v>
      </c>
      <c r="AD19">
        <f t="shared" si="11"/>
        <v>3.5</v>
      </c>
      <c r="AE19">
        <f t="shared" si="12"/>
        <v>8.8899999999999993E-2</v>
      </c>
      <c r="AF19">
        <v>3.4</v>
      </c>
    </row>
    <row r="20" spans="1:32" x14ac:dyDescent="0.5">
      <c r="A20">
        <f t="shared" si="13"/>
        <v>9.75</v>
      </c>
      <c r="B20">
        <f>A20-6</f>
        <v>3.75</v>
      </c>
      <c r="C20">
        <f t="shared" si="0"/>
        <v>0.24764999999999998</v>
      </c>
      <c r="D20">
        <f t="shared" si="1"/>
        <v>1.625</v>
      </c>
      <c r="E20">
        <v>5.8</v>
      </c>
      <c r="G20">
        <f t="shared" si="14"/>
        <v>9.75</v>
      </c>
      <c r="H20">
        <f t="shared" si="2"/>
        <v>3.75</v>
      </c>
      <c r="I20">
        <f t="shared" si="3"/>
        <v>9.5250000000000001E-2</v>
      </c>
      <c r="J20">
        <v>5.4</v>
      </c>
      <c r="L20">
        <f t="shared" si="15"/>
        <v>9.75</v>
      </c>
      <c r="M20">
        <f t="shared" si="4"/>
        <v>3.75</v>
      </c>
      <c r="N20">
        <f t="shared" si="5"/>
        <v>9.5250000000000001E-2</v>
      </c>
      <c r="O20">
        <v>5.4</v>
      </c>
      <c r="R20">
        <f t="shared" si="16"/>
        <v>15.75</v>
      </c>
      <c r="S20">
        <f t="shared" si="6"/>
        <v>3.75</v>
      </c>
      <c r="T20">
        <f t="shared" si="7"/>
        <v>0.40004999999999996</v>
      </c>
      <c r="U20">
        <f t="shared" si="8"/>
        <v>1.3125</v>
      </c>
      <c r="V20">
        <v>3.4</v>
      </c>
      <c r="X20">
        <f t="shared" si="17"/>
        <v>15.75</v>
      </c>
      <c r="Y20">
        <f t="shared" si="9"/>
        <v>3.75</v>
      </c>
      <c r="Z20">
        <f t="shared" si="10"/>
        <v>9.5250000000000001E-2</v>
      </c>
      <c r="AA20">
        <v>3.6</v>
      </c>
      <c r="AC20">
        <f t="shared" si="18"/>
        <v>15.75</v>
      </c>
      <c r="AD20">
        <f t="shared" si="11"/>
        <v>3.75</v>
      </c>
      <c r="AE20">
        <f t="shared" si="12"/>
        <v>9.5250000000000001E-2</v>
      </c>
      <c r="AF20">
        <v>3.6</v>
      </c>
    </row>
    <row r="21" spans="1:32" x14ac:dyDescent="0.5">
      <c r="A21">
        <f t="shared" si="13"/>
        <v>10</v>
      </c>
      <c r="B21">
        <f>A21-6</f>
        <v>4</v>
      </c>
      <c r="C21">
        <f t="shared" si="0"/>
        <v>0.254</v>
      </c>
      <c r="D21">
        <f t="shared" si="1"/>
        <v>1.666666666666667</v>
      </c>
      <c r="E21">
        <v>6</v>
      </c>
      <c r="G21">
        <f t="shared" si="14"/>
        <v>10</v>
      </c>
      <c r="H21">
        <f t="shared" si="2"/>
        <v>4</v>
      </c>
      <c r="I21">
        <f t="shared" si="3"/>
        <v>0.1016</v>
      </c>
      <c r="J21">
        <v>5.6</v>
      </c>
      <c r="L21">
        <f t="shared" si="15"/>
        <v>10</v>
      </c>
      <c r="M21">
        <f t="shared" si="4"/>
        <v>4</v>
      </c>
      <c r="N21">
        <f t="shared" si="5"/>
        <v>0.1016</v>
      </c>
      <c r="O21">
        <v>5.6</v>
      </c>
      <c r="R21">
        <f t="shared" si="16"/>
        <v>16</v>
      </c>
      <c r="S21">
        <f t="shared" si="6"/>
        <v>4</v>
      </c>
      <c r="T21">
        <f t="shared" si="7"/>
        <v>0.40639999999999998</v>
      </c>
      <c r="U21">
        <f t="shared" si="8"/>
        <v>1.3333333333333335</v>
      </c>
      <c r="V21">
        <v>3.6</v>
      </c>
      <c r="X21">
        <f t="shared" si="17"/>
        <v>16</v>
      </c>
      <c r="Y21">
        <f t="shared" si="9"/>
        <v>4</v>
      </c>
      <c r="Z21">
        <f t="shared" si="10"/>
        <v>0.1016</v>
      </c>
      <c r="AA21">
        <v>3.6</v>
      </c>
      <c r="AC21">
        <f t="shared" si="18"/>
        <v>16</v>
      </c>
      <c r="AD21">
        <f t="shared" si="11"/>
        <v>4</v>
      </c>
      <c r="AE21">
        <f t="shared" si="12"/>
        <v>0.1016</v>
      </c>
      <c r="AF21">
        <v>3.6</v>
      </c>
    </row>
    <row r="22" spans="1:32" x14ac:dyDescent="0.5">
      <c r="A22">
        <f t="shared" si="13"/>
        <v>10.25</v>
      </c>
      <c r="B22">
        <f>A22-6</f>
        <v>4.25</v>
      </c>
      <c r="C22">
        <f t="shared" si="0"/>
        <v>0.26034999999999997</v>
      </c>
      <c r="D22">
        <f t="shared" si="1"/>
        <v>1.7083333333333333</v>
      </c>
      <c r="E22">
        <v>6.2</v>
      </c>
      <c r="G22">
        <f t="shared" si="14"/>
        <v>10.25</v>
      </c>
      <c r="H22">
        <f t="shared" si="2"/>
        <v>4.25</v>
      </c>
      <c r="I22">
        <f t="shared" si="3"/>
        <v>0.10794999999999999</v>
      </c>
      <c r="J22">
        <v>5.8</v>
      </c>
      <c r="L22">
        <f t="shared" si="15"/>
        <v>10.25</v>
      </c>
      <c r="M22">
        <f t="shared" si="4"/>
        <v>4.25</v>
      </c>
      <c r="N22">
        <f t="shared" si="5"/>
        <v>0.10794999999999999</v>
      </c>
      <c r="O22">
        <v>5.8</v>
      </c>
      <c r="R22">
        <f t="shared" si="16"/>
        <v>16.25</v>
      </c>
      <c r="S22">
        <f t="shared" si="6"/>
        <v>4.25</v>
      </c>
      <c r="T22">
        <f t="shared" si="7"/>
        <v>0.41275000000000001</v>
      </c>
      <c r="U22">
        <f t="shared" si="8"/>
        <v>1.354166666666667</v>
      </c>
      <c r="V22">
        <v>3.8</v>
      </c>
      <c r="X22">
        <f t="shared" si="17"/>
        <v>16.25</v>
      </c>
      <c r="Y22">
        <f t="shared" si="9"/>
        <v>4.25</v>
      </c>
      <c r="Z22">
        <f t="shared" si="10"/>
        <v>0.10794999999999999</v>
      </c>
      <c r="AA22">
        <v>3.8</v>
      </c>
      <c r="AC22">
        <f t="shared" si="18"/>
        <v>16.25</v>
      </c>
      <c r="AD22">
        <f t="shared" si="11"/>
        <v>4.25</v>
      </c>
      <c r="AE22">
        <f t="shared" si="12"/>
        <v>0.10794999999999999</v>
      </c>
      <c r="AF22">
        <v>3.8</v>
      </c>
    </row>
    <row r="23" spans="1:32" x14ac:dyDescent="0.5">
      <c r="A23">
        <f t="shared" si="13"/>
        <v>10.5</v>
      </c>
      <c r="B23">
        <f>A23-6</f>
        <v>4.5</v>
      </c>
      <c r="C23">
        <f t="shared" si="0"/>
        <v>0.26669999999999999</v>
      </c>
      <c r="D23">
        <f t="shared" si="1"/>
        <v>1.7500000000000002</v>
      </c>
      <c r="E23">
        <v>6.4</v>
      </c>
      <c r="G23">
        <f t="shared" si="14"/>
        <v>10.5</v>
      </c>
      <c r="H23">
        <f t="shared" si="2"/>
        <v>4.5</v>
      </c>
      <c r="I23">
        <f t="shared" si="3"/>
        <v>0.1143</v>
      </c>
      <c r="J23">
        <v>6</v>
      </c>
      <c r="L23">
        <f t="shared" si="15"/>
        <v>10.5</v>
      </c>
      <c r="M23">
        <f t="shared" si="4"/>
        <v>4.5</v>
      </c>
      <c r="N23">
        <f t="shared" si="5"/>
        <v>0.1143</v>
      </c>
      <c r="O23">
        <v>6</v>
      </c>
      <c r="R23">
        <f t="shared" si="16"/>
        <v>16.5</v>
      </c>
      <c r="S23">
        <f t="shared" si="6"/>
        <v>4.5</v>
      </c>
      <c r="T23">
        <f t="shared" si="7"/>
        <v>0.41909999999999997</v>
      </c>
      <c r="U23">
        <f t="shared" si="8"/>
        <v>1.375</v>
      </c>
      <c r="V23">
        <v>3.8</v>
      </c>
      <c r="X23">
        <f t="shared" si="17"/>
        <v>16.5</v>
      </c>
      <c r="Y23">
        <f t="shared" si="9"/>
        <v>4.5</v>
      </c>
      <c r="Z23">
        <f t="shared" si="10"/>
        <v>0.1143</v>
      </c>
      <c r="AA23">
        <v>4</v>
      </c>
      <c r="AC23">
        <f t="shared" si="18"/>
        <v>16.5</v>
      </c>
      <c r="AD23">
        <f t="shared" si="11"/>
        <v>4.5</v>
      </c>
      <c r="AE23">
        <f t="shared" si="12"/>
        <v>0.1143</v>
      </c>
      <c r="AF23">
        <v>4</v>
      </c>
    </row>
    <row r="24" spans="1:32" x14ac:dyDescent="0.5">
      <c r="A24">
        <f t="shared" si="13"/>
        <v>10.75</v>
      </c>
      <c r="B24">
        <f>A24-6</f>
        <v>4.75</v>
      </c>
      <c r="C24">
        <f t="shared" si="0"/>
        <v>0.27305000000000001</v>
      </c>
      <c r="D24">
        <f t="shared" si="1"/>
        <v>1.791666666666667</v>
      </c>
      <c r="E24">
        <v>6.6</v>
      </c>
      <c r="G24">
        <f t="shared" si="14"/>
        <v>10.75</v>
      </c>
      <c r="H24">
        <f t="shared" si="2"/>
        <v>4.75</v>
      </c>
      <c r="I24">
        <f t="shared" si="3"/>
        <v>0.12064999999999999</v>
      </c>
      <c r="J24">
        <v>6.2</v>
      </c>
      <c r="L24">
        <f t="shared" si="15"/>
        <v>10.75</v>
      </c>
      <c r="M24">
        <f t="shared" si="4"/>
        <v>4.75</v>
      </c>
      <c r="N24">
        <f t="shared" si="5"/>
        <v>0.12064999999999999</v>
      </c>
      <c r="O24">
        <v>6.2</v>
      </c>
      <c r="R24">
        <f t="shared" si="16"/>
        <v>16.75</v>
      </c>
      <c r="S24">
        <f t="shared" si="6"/>
        <v>4.75</v>
      </c>
      <c r="T24">
        <f t="shared" si="7"/>
        <v>0.42544999999999999</v>
      </c>
      <c r="U24">
        <f t="shared" si="8"/>
        <v>1.3958333333333335</v>
      </c>
      <c r="V24">
        <v>4</v>
      </c>
      <c r="X24">
        <f t="shared" si="17"/>
        <v>16.75</v>
      </c>
      <c r="Y24">
        <f t="shared" si="9"/>
        <v>4.75</v>
      </c>
      <c r="Z24">
        <f t="shared" si="10"/>
        <v>0.12064999999999999</v>
      </c>
      <c r="AA24">
        <v>4</v>
      </c>
      <c r="AC24">
        <f t="shared" si="18"/>
        <v>16.75</v>
      </c>
      <c r="AD24">
        <f t="shared" si="11"/>
        <v>4.75</v>
      </c>
      <c r="AE24">
        <f t="shared" si="12"/>
        <v>0.12064999999999999</v>
      </c>
      <c r="AF24">
        <v>4</v>
      </c>
    </row>
    <row r="25" spans="1:32" x14ac:dyDescent="0.5">
      <c r="A25">
        <f t="shared" si="13"/>
        <v>11</v>
      </c>
      <c r="B25">
        <f>A25-6</f>
        <v>5</v>
      </c>
      <c r="C25">
        <f t="shared" si="0"/>
        <v>0.27939999999999998</v>
      </c>
      <c r="D25">
        <f t="shared" si="1"/>
        <v>1.8333333333333335</v>
      </c>
      <c r="E25">
        <v>6.8</v>
      </c>
      <c r="G25">
        <f t="shared" si="14"/>
        <v>11</v>
      </c>
      <c r="H25">
        <f t="shared" si="2"/>
        <v>5</v>
      </c>
      <c r="I25">
        <f t="shared" si="3"/>
        <v>0.127</v>
      </c>
      <c r="J25">
        <v>6.4</v>
      </c>
      <c r="L25">
        <f t="shared" si="15"/>
        <v>11</v>
      </c>
      <c r="M25">
        <f t="shared" si="4"/>
        <v>5</v>
      </c>
      <c r="N25">
        <f t="shared" si="5"/>
        <v>0.127</v>
      </c>
      <c r="O25">
        <v>6.4</v>
      </c>
      <c r="R25">
        <f t="shared" si="16"/>
        <v>17</v>
      </c>
      <c r="S25">
        <f t="shared" si="6"/>
        <v>5</v>
      </c>
      <c r="T25">
        <f t="shared" si="7"/>
        <v>0.43179999999999996</v>
      </c>
      <c r="U25">
        <f t="shared" si="8"/>
        <v>1.4166666666666667</v>
      </c>
      <c r="V25">
        <v>4.2</v>
      </c>
      <c r="X25">
        <f t="shared" si="17"/>
        <v>17</v>
      </c>
      <c r="Y25">
        <f t="shared" si="9"/>
        <v>5</v>
      </c>
      <c r="Z25">
        <f t="shared" si="10"/>
        <v>0.127</v>
      </c>
      <c r="AA25">
        <v>4.2</v>
      </c>
      <c r="AC25">
        <f t="shared" si="18"/>
        <v>17</v>
      </c>
      <c r="AD25">
        <f t="shared" si="11"/>
        <v>5</v>
      </c>
      <c r="AE25">
        <f t="shared" si="12"/>
        <v>0.127</v>
      </c>
      <c r="AF25">
        <v>4.2</v>
      </c>
    </row>
    <row r="26" spans="1:32" x14ac:dyDescent="0.5">
      <c r="A26">
        <f t="shared" si="13"/>
        <v>11.25</v>
      </c>
      <c r="B26">
        <f>A26-6</f>
        <v>5.25</v>
      </c>
      <c r="C26">
        <f t="shared" si="0"/>
        <v>0.28575</v>
      </c>
      <c r="D26">
        <f t="shared" si="1"/>
        <v>1.8750000000000002</v>
      </c>
      <c r="E26">
        <v>6.8</v>
      </c>
      <c r="G26">
        <f t="shared" si="14"/>
        <v>11.25</v>
      </c>
      <c r="H26">
        <f t="shared" si="2"/>
        <v>5.25</v>
      </c>
      <c r="I26">
        <f t="shared" si="3"/>
        <v>0.13335</v>
      </c>
      <c r="J26">
        <v>6.6</v>
      </c>
      <c r="L26">
        <f t="shared" si="15"/>
        <v>11.25</v>
      </c>
      <c r="M26">
        <f t="shared" si="4"/>
        <v>5.25</v>
      </c>
      <c r="N26">
        <f t="shared" si="5"/>
        <v>0.13335</v>
      </c>
      <c r="O26">
        <v>6.6</v>
      </c>
      <c r="R26">
        <f t="shared" si="16"/>
        <v>17.25</v>
      </c>
      <c r="S26">
        <f t="shared" si="6"/>
        <v>5.25</v>
      </c>
      <c r="T26">
        <f t="shared" si="7"/>
        <v>0.43814999999999998</v>
      </c>
      <c r="U26">
        <f t="shared" si="8"/>
        <v>1.4375000000000002</v>
      </c>
      <c r="V26">
        <v>4.2</v>
      </c>
      <c r="X26">
        <f t="shared" si="17"/>
        <v>17.25</v>
      </c>
      <c r="Y26">
        <f t="shared" si="9"/>
        <v>5.25</v>
      </c>
      <c r="Z26">
        <f t="shared" si="10"/>
        <v>0.13335</v>
      </c>
      <c r="AA26">
        <v>4.4000000000000004</v>
      </c>
      <c r="AC26">
        <f t="shared" si="18"/>
        <v>17.25</v>
      </c>
      <c r="AD26">
        <f t="shared" si="11"/>
        <v>5.25</v>
      </c>
      <c r="AE26">
        <f t="shared" si="12"/>
        <v>0.13335</v>
      </c>
      <c r="AF26">
        <v>4.4000000000000004</v>
      </c>
    </row>
    <row r="27" spans="1:32" x14ac:dyDescent="0.5">
      <c r="A27">
        <f t="shared" si="13"/>
        <v>11.5</v>
      </c>
      <c r="B27">
        <f>A27-6</f>
        <v>5.5</v>
      </c>
      <c r="C27">
        <f t="shared" si="0"/>
        <v>0.29209999999999997</v>
      </c>
      <c r="D27">
        <f t="shared" si="1"/>
        <v>1.9166666666666667</v>
      </c>
      <c r="E27">
        <v>7.2</v>
      </c>
      <c r="G27">
        <f t="shared" si="14"/>
        <v>11.5</v>
      </c>
      <c r="H27">
        <f t="shared" si="2"/>
        <v>5.5</v>
      </c>
      <c r="I27">
        <f t="shared" si="3"/>
        <v>0.13969999999999999</v>
      </c>
      <c r="J27">
        <v>6.8</v>
      </c>
      <c r="L27">
        <f t="shared" si="15"/>
        <v>11.5</v>
      </c>
      <c r="M27">
        <f t="shared" si="4"/>
        <v>5.5</v>
      </c>
      <c r="N27">
        <f t="shared" si="5"/>
        <v>0.13969999999999999</v>
      </c>
      <c r="O27">
        <v>6.8</v>
      </c>
      <c r="R27">
        <f t="shared" si="16"/>
        <v>17.5</v>
      </c>
      <c r="S27">
        <f t="shared" si="6"/>
        <v>5.5</v>
      </c>
      <c r="T27">
        <f t="shared" si="7"/>
        <v>0.44450000000000001</v>
      </c>
      <c r="U27">
        <f t="shared" si="8"/>
        <v>1.4583333333333335</v>
      </c>
      <c r="V27">
        <v>4.4000000000000004</v>
      </c>
      <c r="X27">
        <f t="shared" si="17"/>
        <v>17.5</v>
      </c>
      <c r="Y27">
        <f t="shared" si="9"/>
        <v>5.5</v>
      </c>
      <c r="Z27">
        <f t="shared" si="10"/>
        <v>0.13969999999999999</v>
      </c>
      <c r="AA27">
        <v>4.4000000000000004</v>
      </c>
      <c r="AC27">
        <f t="shared" si="18"/>
        <v>17.5</v>
      </c>
      <c r="AD27">
        <f t="shared" si="11"/>
        <v>5.5</v>
      </c>
      <c r="AE27">
        <f t="shared" si="12"/>
        <v>0.13969999999999999</v>
      </c>
      <c r="AF27">
        <v>4.4000000000000004</v>
      </c>
    </row>
    <row r="28" spans="1:32" x14ac:dyDescent="0.5">
      <c r="A28">
        <f t="shared" si="13"/>
        <v>11.75</v>
      </c>
      <c r="B28">
        <f>A28-6</f>
        <v>5.75</v>
      </c>
      <c r="C28">
        <f t="shared" si="0"/>
        <v>0.29844999999999999</v>
      </c>
      <c r="D28">
        <f t="shared" si="1"/>
        <v>1.9583333333333335</v>
      </c>
      <c r="E28">
        <v>7.4</v>
      </c>
      <c r="G28">
        <f t="shared" si="14"/>
        <v>11.75</v>
      </c>
      <c r="H28">
        <f t="shared" si="2"/>
        <v>5.75</v>
      </c>
      <c r="I28">
        <f t="shared" si="3"/>
        <v>0.14604999999999999</v>
      </c>
      <c r="J28">
        <v>7</v>
      </c>
      <c r="L28">
        <f t="shared" si="15"/>
        <v>11.75</v>
      </c>
      <c r="M28">
        <f t="shared" si="4"/>
        <v>5.75</v>
      </c>
      <c r="N28">
        <f t="shared" si="5"/>
        <v>0.14604999999999999</v>
      </c>
      <c r="O28">
        <v>7</v>
      </c>
      <c r="R28">
        <f t="shared" si="16"/>
        <v>17.75</v>
      </c>
      <c r="S28">
        <f t="shared" si="6"/>
        <v>5.75</v>
      </c>
      <c r="T28">
        <f t="shared" si="7"/>
        <v>0.45084999999999997</v>
      </c>
      <c r="U28">
        <f t="shared" si="8"/>
        <v>1.4791666666666667</v>
      </c>
      <c r="V28">
        <v>4.5999999999999996</v>
      </c>
      <c r="X28">
        <f t="shared" si="17"/>
        <v>17.75</v>
      </c>
      <c r="Y28">
        <f t="shared" si="9"/>
        <v>5.75</v>
      </c>
      <c r="Z28">
        <f t="shared" si="10"/>
        <v>0.14604999999999999</v>
      </c>
      <c r="AA28">
        <v>4.5999999999999996</v>
      </c>
      <c r="AC28">
        <f t="shared" si="18"/>
        <v>17.75</v>
      </c>
      <c r="AD28">
        <f t="shared" si="11"/>
        <v>5.75</v>
      </c>
      <c r="AE28">
        <f t="shared" si="12"/>
        <v>0.14604999999999999</v>
      </c>
      <c r="AF28">
        <v>4.5999999999999996</v>
      </c>
    </row>
    <row r="29" spans="1:32" x14ac:dyDescent="0.5">
      <c r="A29">
        <f t="shared" si="13"/>
        <v>12</v>
      </c>
      <c r="B29">
        <f>A29-6</f>
        <v>6</v>
      </c>
      <c r="C29">
        <f t="shared" si="0"/>
        <v>0.30479999999999996</v>
      </c>
      <c r="D29">
        <f t="shared" si="1"/>
        <v>2</v>
      </c>
      <c r="E29">
        <v>7.6</v>
      </c>
      <c r="G29">
        <f t="shared" si="14"/>
        <v>12</v>
      </c>
      <c r="H29">
        <f t="shared" si="2"/>
        <v>6</v>
      </c>
      <c r="I29">
        <f t="shared" si="3"/>
        <v>0.15239999999999998</v>
      </c>
      <c r="J29">
        <v>7.2</v>
      </c>
      <c r="L29">
        <f t="shared" si="15"/>
        <v>12</v>
      </c>
      <c r="M29">
        <f t="shared" si="4"/>
        <v>6</v>
      </c>
      <c r="N29">
        <f t="shared" si="5"/>
        <v>0.15239999999999998</v>
      </c>
      <c r="O29">
        <v>7.2</v>
      </c>
      <c r="R29">
        <f t="shared" si="16"/>
        <v>18</v>
      </c>
      <c r="S29">
        <f t="shared" si="6"/>
        <v>6</v>
      </c>
      <c r="T29">
        <f t="shared" si="7"/>
        <v>0.4572</v>
      </c>
      <c r="U29">
        <f t="shared" si="8"/>
        <v>1.5000000000000002</v>
      </c>
      <c r="V29">
        <v>4.5999999999999996</v>
      </c>
      <c r="X29">
        <f t="shared" si="17"/>
        <v>18</v>
      </c>
      <c r="Y29">
        <f t="shared" si="9"/>
        <v>6</v>
      </c>
      <c r="Z29">
        <f t="shared" si="10"/>
        <v>0.15239999999999998</v>
      </c>
      <c r="AA29">
        <v>4.8</v>
      </c>
      <c r="AC29">
        <f t="shared" si="18"/>
        <v>18</v>
      </c>
      <c r="AD29">
        <f t="shared" si="11"/>
        <v>6</v>
      </c>
      <c r="AE29">
        <f t="shared" si="12"/>
        <v>0.15239999999999998</v>
      </c>
      <c r="AF29">
        <v>4.8</v>
      </c>
    </row>
    <row r="30" spans="1:32" x14ac:dyDescent="0.5">
      <c r="A30">
        <f t="shared" si="13"/>
        <v>12.25</v>
      </c>
      <c r="B30">
        <f>A30-6</f>
        <v>6.25</v>
      </c>
      <c r="C30">
        <f t="shared" si="0"/>
        <v>0.31114999999999998</v>
      </c>
      <c r="D30">
        <f t="shared" si="1"/>
        <v>2.041666666666667</v>
      </c>
      <c r="E30">
        <v>7.6</v>
      </c>
      <c r="G30">
        <f t="shared" si="14"/>
        <v>12.25</v>
      </c>
      <c r="H30">
        <f t="shared" si="2"/>
        <v>6.25</v>
      </c>
      <c r="I30">
        <f t="shared" si="3"/>
        <v>0.15875</v>
      </c>
      <c r="J30">
        <v>7.4</v>
      </c>
      <c r="L30">
        <f t="shared" si="15"/>
        <v>12.25</v>
      </c>
      <c r="M30">
        <f t="shared" si="4"/>
        <v>6.25</v>
      </c>
      <c r="N30">
        <f t="shared" si="5"/>
        <v>0.15875</v>
      </c>
      <c r="O30">
        <v>7.4</v>
      </c>
      <c r="R30">
        <f t="shared" si="16"/>
        <v>18.25</v>
      </c>
      <c r="S30">
        <f t="shared" si="6"/>
        <v>6.25</v>
      </c>
      <c r="T30">
        <f t="shared" si="7"/>
        <v>0.46354999999999996</v>
      </c>
      <c r="U30">
        <f t="shared" si="8"/>
        <v>1.5208333333333335</v>
      </c>
      <c r="V30">
        <v>4.8</v>
      </c>
      <c r="X30">
        <f t="shared" si="17"/>
        <v>18.25</v>
      </c>
      <c r="Y30">
        <f t="shared" si="9"/>
        <v>6.25</v>
      </c>
      <c r="Z30">
        <f t="shared" si="10"/>
        <v>0.15875</v>
      </c>
      <c r="AA30">
        <v>5</v>
      </c>
      <c r="AC30">
        <f t="shared" si="18"/>
        <v>18.25</v>
      </c>
      <c r="AD30">
        <f t="shared" si="11"/>
        <v>6.25</v>
      </c>
      <c r="AE30">
        <f t="shared" si="12"/>
        <v>0.15875</v>
      </c>
      <c r="AF30">
        <v>5</v>
      </c>
    </row>
    <row r="31" spans="1:32" x14ac:dyDescent="0.5">
      <c r="A31">
        <f t="shared" si="13"/>
        <v>12.5</v>
      </c>
      <c r="B31">
        <f>A31-6</f>
        <v>6.5</v>
      </c>
      <c r="C31">
        <f t="shared" si="0"/>
        <v>0.3175</v>
      </c>
      <c r="D31">
        <f t="shared" si="1"/>
        <v>2.0833333333333335</v>
      </c>
      <c r="E31">
        <v>7.8</v>
      </c>
      <c r="G31">
        <f t="shared" si="14"/>
        <v>12.5</v>
      </c>
      <c r="H31">
        <f t="shared" si="2"/>
        <v>6.5</v>
      </c>
      <c r="I31">
        <f t="shared" si="3"/>
        <v>0.1651</v>
      </c>
      <c r="J31">
        <v>7.6</v>
      </c>
      <c r="L31">
        <f t="shared" si="15"/>
        <v>12.5</v>
      </c>
      <c r="M31">
        <f t="shared" si="4"/>
        <v>6.5</v>
      </c>
      <c r="N31">
        <f t="shared" si="5"/>
        <v>0.1651</v>
      </c>
      <c r="O31">
        <v>7.6</v>
      </c>
      <c r="R31">
        <f t="shared" si="16"/>
        <v>18.5</v>
      </c>
      <c r="S31">
        <f t="shared" si="6"/>
        <v>6.5</v>
      </c>
      <c r="T31">
        <f t="shared" si="7"/>
        <v>0.46989999999999998</v>
      </c>
      <c r="U31">
        <f t="shared" si="8"/>
        <v>1.5416666666666667</v>
      </c>
      <c r="V31">
        <v>5</v>
      </c>
      <c r="X31">
        <f t="shared" si="17"/>
        <v>18.5</v>
      </c>
      <c r="Y31">
        <f t="shared" si="9"/>
        <v>6.5</v>
      </c>
      <c r="Z31">
        <f t="shared" si="10"/>
        <v>0.1651</v>
      </c>
      <c r="AA31">
        <v>5</v>
      </c>
      <c r="AC31">
        <f t="shared" si="18"/>
        <v>18.5</v>
      </c>
      <c r="AD31">
        <f t="shared" si="11"/>
        <v>6.5</v>
      </c>
      <c r="AE31">
        <f t="shared" si="12"/>
        <v>0.1651</v>
      </c>
      <c r="AF31">
        <v>5</v>
      </c>
    </row>
    <row r="32" spans="1:32" x14ac:dyDescent="0.5">
      <c r="A32">
        <f t="shared" si="13"/>
        <v>12.75</v>
      </c>
      <c r="B32">
        <f>A32-6</f>
        <v>6.75</v>
      </c>
      <c r="C32">
        <f t="shared" si="0"/>
        <v>0.32384999999999997</v>
      </c>
      <c r="D32">
        <f t="shared" si="1"/>
        <v>2.125</v>
      </c>
      <c r="E32">
        <v>8.1999999999999993</v>
      </c>
      <c r="G32">
        <f t="shared" si="14"/>
        <v>12.75</v>
      </c>
      <c r="H32">
        <f t="shared" si="2"/>
        <v>6.75</v>
      </c>
      <c r="I32">
        <f t="shared" si="3"/>
        <v>0.17144999999999999</v>
      </c>
      <c r="J32">
        <v>7.8</v>
      </c>
      <c r="L32">
        <f t="shared" si="15"/>
        <v>12.75</v>
      </c>
      <c r="M32">
        <f t="shared" si="4"/>
        <v>6.75</v>
      </c>
      <c r="N32">
        <f t="shared" si="5"/>
        <v>0.17144999999999999</v>
      </c>
      <c r="O32">
        <v>7.8</v>
      </c>
      <c r="R32">
        <f t="shared" si="16"/>
        <v>18.75</v>
      </c>
      <c r="S32">
        <f t="shared" si="6"/>
        <v>6.75</v>
      </c>
      <c r="T32">
        <f t="shared" si="7"/>
        <v>0.47625000000000001</v>
      </c>
      <c r="U32">
        <f t="shared" si="8"/>
        <v>1.5625000000000002</v>
      </c>
      <c r="V32">
        <v>5</v>
      </c>
      <c r="X32">
        <f t="shared" si="17"/>
        <v>18.75</v>
      </c>
      <c r="Y32">
        <f t="shared" si="9"/>
        <v>6.75</v>
      </c>
      <c r="Z32">
        <f t="shared" si="10"/>
        <v>0.17144999999999999</v>
      </c>
      <c r="AA32">
        <v>5.2</v>
      </c>
      <c r="AC32">
        <f t="shared" si="18"/>
        <v>18.75</v>
      </c>
      <c r="AD32">
        <f t="shared" si="11"/>
        <v>6.75</v>
      </c>
      <c r="AE32">
        <f t="shared" si="12"/>
        <v>0.17144999999999999</v>
      </c>
      <c r="AF32">
        <v>5</v>
      </c>
    </row>
    <row r="33" spans="1:32" x14ac:dyDescent="0.5">
      <c r="A33">
        <f t="shared" si="13"/>
        <v>13</v>
      </c>
      <c r="B33">
        <f>A33-6</f>
        <v>7</v>
      </c>
      <c r="C33">
        <f t="shared" si="0"/>
        <v>0.33019999999999999</v>
      </c>
      <c r="D33">
        <f t="shared" si="1"/>
        <v>2.166666666666667</v>
      </c>
      <c r="E33">
        <v>8.4</v>
      </c>
      <c r="G33">
        <f t="shared" si="14"/>
        <v>13</v>
      </c>
      <c r="H33">
        <f t="shared" si="2"/>
        <v>7</v>
      </c>
      <c r="I33">
        <f t="shared" si="3"/>
        <v>0.17779999999999999</v>
      </c>
      <c r="J33">
        <v>8</v>
      </c>
      <c r="L33">
        <f t="shared" si="15"/>
        <v>13</v>
      </c>
      <c r="M33">
        <f t="shared" si="4"/>
        <v>7</v>
      </c>
      <c r="N33">
        <f t="shared" si="5"/>
        <v>0.17779999999999999</v>
      </c>
      <c r="O33">
        <v>8</v>
      </c>
      <c r="R33">
        <f t="shared" si="16"/>
        <v>19</v>
      </c>
      <c r="S33">
        <f t="shared" si="6"/>
        <v>7</v>
      </c>
      <c r="T33">
        <f t="shared" si="7"/>
        <v>0.48259999999999997</v>
      </c>
      <c r="U33">
        <f t="shared" si="8"/>
        <v>1.5833333333333335</v>
      </c>
      <c r="V33">
        <v>5.2</v>
      </c>
      <c r="X33">
        <f t="shared" si="17"/>
        <v>19</v>
      </c>
      <c r="Y33">
        <f t="shared" si="9"/>
        <v>7</v>
      </c>
      <c r="Z33">
        <f t="shared" si="10"/>
        <v>0.17779999999999999</v>
      </c>
      <c r="AA33">
        <v>5.2</v>
      </c>
      <c r="AC33">
        <f t="shared" si="18"/>
        <v>19</v>
      </c>
      <c r="AD33">
        <f t="shared" si="11"/>
        <v>7</v>
      </c>
      <c r="AE33">
        <f t="shared" si="12"/>
        <v>0.17779999999999999</v>
      </c>
      <c r="AF33">
        <v>5.2</v>
      </c>
    </row>
    <row r="34" spans="1:32" x14ac:dyDescent="0.5">
      <c r="A34">
        <f t="shared" si="13"/>
        <v>13.25</v>
      </c>
      <c r="B34">
        <f>A34-6</f>
        <v>7.25</v>
      </c>
      <c r="C34">
        <f t="shared" si="0"/>
        <v>0.33654999999999996</v>
      </c>
      <c r="D34">
        <f t="shared" si="1"/>
        <v>2.2083333333333335</v>
      </c>
      <c r="E34">
        <v>8.6</v>
      </c>
      <c r="G34">
        <f t="shared" si="14"/>
        <v>13.25</v>
      </c>
      <c r="H34">
        <f t="shared" si="2"/>
        <v>7.25</v>
      </c>
      <c r="I34">
        <f t="shared" si="3"/>
        <v>0.18414999999999998</v>
      </c>
      <c r="J34">
        <v>8</v>
      </c>
      <c r="L34">
        <f t="shared" si="15"/>
        <v>13.25</v>
      </c>
      <c r="M34">
        <f t="shared" si="4"/>
        <v>7.25</v>
      </c>
      <c r="N34">
        <f t="shared" si="5"/>
        <v>0.18414999999999998</v>
      </c>
      <c r="O34">
        <v>8.1999999999999993</v>
      </c>
      <c r="R34">
        <f>R33+0.25</f>
        <v>19.25</v>
      </c>
      <c r="S34">
        <f t="shared" si="6"/>
        <v>7.25</v>
      </c>
      <c r="T34">
        <f t="shared" si="7"/>
        <v>0.48895</v>
      </c>
      <c r="U34">
        <f t="shared" si="8"/>
        <v>1.604166666666667</v>
      </c>
      <c r="V34">
        <v>5.2</v>
      </c>
      <c r="X34">
        <f>X33+0.25</f>
        <v>19.25</v>
      </c>
      <c r="Y34">
        <f t="shared" si="9"/>
        <v>7.25</v>
      </c>
      <c r="Z34">
        <f t="shared" si="10"/>
        <v>0.18414999999999998</v>
      </c>
      <c r="AA34">
        <v>5.4</v>
      </c>
      <c r="AC34">
        <f>AC33+0.25</f>
        <v>19.25</v>
      </c>
      <c r="AD34">
        <f t="shared" si="11"/>
        <v>7.25</v>
      </c>
      <c r="AE34">
        <f t="shared" si="12"/>
        <v>0.18414999999999998</v>
      </c>
      <c r="AF34">
        <v>5.4</v>
      </c>
    </row>
    <row r="35" spans="1:32" x14ac:dyDescent="0.5">
      <c r="A35">
        <f t="shared" si="13"/>
        <v>13.5</v>
      </c>
      <c r="B35">
        <f>A35-6</f>
        <v>7.5</v>
      </c>
      <c r="C35">
        <f t="shared" si="0"/>
        <v>0.34289999999999998</v>
      </c>
      <c r="D35">
        <f t="shared" si="1"/>
        <v>2.25</v>
      </c>
      <c r="E35">
        <v>8.6</v>
      </c>
      <c r="G35">
        <f t="shared" si="14"/>
        <v>13.5</v>
      </c>
      <c r="H35">
        <f t="shared" si="2"/>
        <v>7.5</v>
      </c>
      <c r="I35">
        <f t="shared" si="3"/>
        <v>0.1905</v>
      </c>
      <c r="J35">
        <v>8.4</v>
      </c>
      <c r="L35">
        <f t="shared" si="15"/>
        <v>13.5</v>
      </c>
      <c r="M35">
        <f t="shared" si="4"/>
        <v>7.5</v>
      </c>
      <c r="N35">
        <f t="shared" si="5"/>
        <v>0.1905</v>
      </c>
      <c r="O35">
        <v>8.1999999999999993</v>
      </c>
      <c r="R35">
        <f t="shared" si="16"/>
        <v>19.5</v>
      </c>
      <c r="S35">
        <f t="shared" si="6"/>
        <v>7.5</v>
      </c>
      <c r="T35">
        <f t="shared" si="7"/>
        <v>0.49529999999999996</v>
      </c>
      <c r="U35">
        <f t="shared" si="8"/>
        <v>1.625</v>
      </c>
      <c r="V35">
        <v>5.4</v>
      </c>
      <c r="X35">
        <f t="shared" si="17"/>
        <v>19.5</v>
      </c>
      <c r="Y35">
        <f t="shared" si="9"/>
        <v>7.5</v>
      </c>
      <c r="Z35">
        <f t="shared" si="10"/>
        <v>0.1905</v>
      </c>
      <c r="AA35">
        <v>5.4</v>
      </c>
      <c r="AC35">
        <f t="shared" si="18"/>
        <v>19.5</v>
      </c>
      <c r="AD35">
        <f t="shared" si="11"/>
        <v>7.5</v>
      </c>
      <c r="AE35">
        <f t="shared" si="12"/>
        <v>0.1905</v>
      </c>
      <c r="AF35">
        <v>5.4</v>
      </c>
    </row>
    <row r="36" spans="1:32" x14ac:dyDescent="0.5">
      <c r="A36">
        <f>A35+0.25</f>
        <v>13.75</v>
      </c>
      <c r="B36">
        <f>A36-6</f>
        <v>7.75</v>
      </c>
      <c r="C36">
        <f t="shared" si="0"/>
        <v>0.34925</v>
      </c>
      <c r="D36">
        <f t="shared" si="1"/>
        <v>2.291666666666667</v>
      </c>
      <c r="E36">
        <v>8.8000000000000007</v>
      </c>
      <c r="G36">
        <f>G35+0.25</f>
        <v>13.75</v>
      </c>
      <c r="H36">
        <f t="shared" si="2"/>
        <v>7.75</v>
      </c>
      <c r="I36">
        <f t="shared" si="3"/>
        <v>0.19685</v>
      </c>
      <c r="J36">
        <v>8.6</v>
      </c>
      <c r="L36">
        <f>L35+0.25</f>
        <v>13.75</v>
      </c>
      <c r="M36">
        <f t="shared" si="4"/>
        <v>7.75</v>
      </c>
      <c r="N36">
        <f t="shared" si="5"/>
        <v>0.19685</v>
      </c>
      <c r="O36">
        <v>8.6</v>
      </c>
      <c r="R36">
        <f t="shared" si="16"/>
        <v>19.75</v>
      </c>
      <c r="S36">
        <f t="shared" si="6"/>
        <v>7.75</v>
      </c>
      <c r="T36">
        <f t="shared" si="7"/>
        <v>0.50164999999999993</v>
      </c>
      <c r="U36">
        <f t="shared" si="8"/>
        <v>1.6458333333333333</v>
      </c>
      <c r="V36">
        <v>5.4</v>
      </c>
      <c r="X36">
        <f t="shared" si="17"/>
        <v>19.75</v>
      </c>
      <c r="Y36">
        <f t="shared" si="9"/>
        <v>7.75</v>
      </c>
      <c r="Z36">
        <f t="shared" si="10"/>
        <v>0.19685</v>
      </c>
      <c r="AA36">
        <v>5.6</v>
      </c>
      <c r="AC36">
        <f t="shared" si="18"/>
        <v>19.75</v>
      </c>
      <c r="AD36">
        <f t="shared" si="11"/>
        <v>7.75</v>
      </c>
      <c r="AE36">
        <f t="shared" si="12"/>
        <v>0.19685</v>
      </c>
      <c r="AF36">
        <v>5.6</v>
      </c>
    </row>
    <row r="37" spans="1:32" x14ac:dyDescent="0.5">
      <c r="A37">
        <f t="shared" si="13"/>
        <v>14</v>
      </c>
      <c r="B37">
        <f>A37-6</f>
        <v>8</v>
      </c>
      <c r="C37">
        <f t="shared" si="0"/>
        <v>0.35559999999999997</v>
      </c>
      <c r="D37">
        <f t="shared" si="1"/>
        <v>2.3333333333333335</v>
      </c>
      <c r="E37">
        <v>9</v>
      </c>
      <c r="G37">
        <f t="shared" si="14"/>
        <v>14</v>
      </c>
      <c r="H37">
        <f t="shared" si="2"/>
        <v>8</v>
      </c>
      <c r="I37">
        <f t="shared" si="3"/>
        <v>0.20319999999999999</v>
      </c>
      <c r="J37">
        <v>8.6</v>
      </c>
      <c r="L37">
        <f t="shared" si="15"/>
        <v>14</v>
      </c>
      <c r="M37">
        <f t="shared" si="4"/>
        <v>8</v>
      </c>
      <c r="N37">
        <f t="shared" si="5"/>
        <v>0.20319999999999999</v>
      </c>
      <c r="O37">
        <v>8.8000000000000007</v>
      </c>
      <c r="R37">
        <f t="shared" si="16"/>
        <v>20</v>
      </c>
      <c r="S37">
        <f t="shared" si="6"/>
        <v>8</v>
      </c>
      <c r="T37">
        <f t="shared" si="7"/>
        <v>0.50800000000000001</v>
      </c>
      <c r="U37">
        <f t="shared" si="8"/>
        <v>1.666666666666667</v>
      </c>
      <c r="V37">
        <v>5.6</v>
      </c>
      <c r="X37">
        <f t="shared" si="17"/>
        <v>20</v>
      </c>
      <c r="Y37">
        <f t="shared" si="9"/>
        <v>8</v>
      </c>
      <c r="Z37">
        <f t="shared" si="10"/>
        <v>0.20319999999999999</v>
      </c>
      <c r="AA37">
        <v>5.8</v>
      </c>
      <c r="AC37">
        <f t="shared" si="18"/>
        <v>20</v>
      </c>
      <c r="AD37">
        <f t="shared" si="11"/>
        <v>8</v>
      </c>
      <c r="AE37">
        <f t="shared" si="12"/>
        <v>0.20319999999999999</v>
      </c>
      <c r="AF37">
        <v>5.6</v>
      </c>
    </row>
    <row r="38" spans="1:32" x14ac:dyDescent="0.5">
      <c r="A38">
        <f t="shared" si="13"/>
        <v>14.25</v>
      </c>
      <c r="B38">
        <f>A38-6</f>
        <v>8.25</v>
      </c>
      <c r="C38">
        <f t="shared" si="0"/>
        <v>0.36194999999999999</v>
      </c>
      <c r="D38">
        <f t="shared" si="1"/>
        <v>2.3750000000000004</v>
      </c>
      <c r="E38">
        <v>9.1999999999999993</v>
      </c>
      <c r="G38">
        <f t="shared" si="14"/>
        <v>14.25</v>
      </c>
      <c r="H38">
        <f t="shared" si="2"/>
        <v>8.25</v>
      </c>
      <c r="I38">
        <f t="shared" si="3"/>
        <v>0.20954999999999999</v>
      </c>
      <c r="J38">
        <v>8.8000000000000007</v>
      </c>
      <c r="L38">
        <f t="shared" si="15"/>
        <v>14.25</v>
      </c>
      <c r="M38">
        <f t="shared" si="4"/>
        <v>8.25</v>
      </c>
      <c r="N38">
        <f t="shared" si="5"/>
        <v>0.20954999999999999</v>
      </c>
      <c r="O38">
        <v>9</v>
      </c>
      <c r="R38">
        <f t="shared" si="16"/>
        <v>20.25</v>
      </c>
      <c r="S38">
        <f t="shared" si="6"/>
        <v>8.25</v>
      </c>
      <c r="T38">
        <f t="shared" si="7"/>
        <v>0.51434999999999997</v>
      </c>
      <c r="U38">
        <f t="shared" si="8"/>
        <v>1.6875000000000002</v>
      </c>
      <c r="V38">
        <v>5.6</v>
      </c>
      <c r="X38">
        <f t="shared" si="17"/>
        <v>20.25</v>
      </c>
      <c r="Y38">
        <f t="shared" si="9"/>
        <v>8.25</v>
      </c>
      <c r="Z38">
        <f t="shared" si="10"/>
        <v>0.20954999999999999</v>
      </c>
      <c r="AA38">
        <v>5.8</v>
      </c>
      <c r="AC38">
        <f t="shared" si="18"/>
        <v>20.25</v>
      </c>
      <c r="AD38">
        <f t="shared" si="11"/>
        <v>8.25</v>
      </c>
      <c r="AE38">
        <f t="shared" si="12"/>
        <v>0.20954999999999999</v>
      </c>
      <c r="AF38">
        <v>5.8</v>
      </c>
    </row>
    <row r="39" spans="1:32" x14ac:dyDescent="0.5">
      <c r="A39">
        <f t="shared" si="13"/>
        <v>14.5</v>
      </c>
      <c r="B39">
        <f>A39-6</f>
        <v>8.5</v>
      </c>
      <c r="C39">
        <f t="shared" si="0"/>
        <v>0.36829999999999996</v>
      </c>
      <c r="D39">
        <f t="shared" si="1"/>
        <v>2.4166666666666665</v>
      </c>
      <c r="E39">
        <v>9.4</v>
      </c>
      <c r="G39">
        <f t="shared" si="14"/>
        <v>14.5</v>
      </c>
      <c r="H39">
        <f t="shared" si="2"/>
        <v>8.5</v>
      </c>
      <c r="I39">
        <f t="shared" si="3"/>
        <v>0.21589999999999998</v>
      </c>
      <c r="J39">
        <v>9</v>
      </c>
      <c r="L39">
        <f t="shared" si="15"/>
        <v>14.5</v>
      </c>
      <c r="M39">
        <f t="shared" si="4"/>
        <v>8.5</v>
      </c>
      <c r="N39">
        <f t="shared" si="5"/>
        <v>0.21589999999999998</v>
      </c>
      <c r="O39">
        <v>9.1999999999999993</v>
      </c>
      <c r="R39">
        <f t="shared" si="16"/>
        <v>20.5</v>
      </c>
      <c r="S39">
        <f t="shared" si="6"/>
        <v>8.5</v>
      </c>
      <c r="T39">
        <f t="shared" si="7"/>
        <v>0.52069999999999994</v>
      </c>
      <c r="U39">
        <f t="shared" si="8"/>
        <v>1.7083333333333333</v>
      </c>
      <c r="V39">
        <v>5.8</v>
      </c>
      <c r="X39">
        <f t="shared" si="17"/>
        <v>20.5</v>
      </c>
      <c r="Y39">
        <f t="shared" si="9"/>
        <v>8.5</v>
      </c>
      <c r="Z39">
        <f t="shared" si="10"/>
        <v>0.21589999999999998</v>
      </c>
      <c r="AA39">
        <v>6</v>
      </c>
      <c r="AC39">
        <f t="shared" si="18"/>
        <v>20.5</v>
      </c>
      <c r="AD39">
        <f t="shared" si="11"/>
        <v>8.5</v>
      </c>
      <c r="AE39">
        <f t="shared" si="12"/>
        <v>0.21589999999999998</v>
      </c>
      <c r="AF39">
        <v>5.8</v>
      </c>
    </row>
    <row r="40" spans="1:32" x14ac:dyDescent="0.5">
      <c r="A40">
        <f t="shared" si="13"/>
        <v>14.75</v>
      </c>
      <c r="B40">
        <f>A40-6</f>
        <v>8.75</v>
      </c>
      <c r="C40">
        <f t="shared" si="0"/>
        <v>0.37464999999999998</v>
      </c>
      <c r="D40">
        <f t="shared" si="1"/>
        <v>2.4583333333333335</v>
      </c>
      <c r="E40">
        <v>9.8000000000000007</v>
      </c>
      <c r="G40">
        <f t="shared" si="14"/>
        <v>14.75</v>
      </c>
      <c r="H40">
        <f t="shared" si="2"/>
        <v>8.75</v>
      </c>
      <c r="I40">
        <f t="shared" si="3"/>
        <v>0.22225</v>
      </c>
      <c r="J40">
        <v>9.1999999999999993</v>
      </c>
      <c r="L40">
        <f t="shared" si="15"/>
        <v>14.75</v>
      </c>
      <c r="M40">
        <f t="shared" si="4"/>
        <v>8.75</v>
      </c>
      <c r="N40">
        <f t="shared" si="5"/>
        <v>0.22225</v>
      </c>
      <c r="O40">
        <v>9.4</v>
      </c>
      <c r="R40">
        <f t="shared" si="16"/>
        <v>20.75</v>
      </c>
      <c r="S40">
        <f t="shared" si="6"/>
        <v>8.75</v>
      </c>
      <c r="T40">
        <f t="shared" si="7"/>
        <v>0.52705000000000002</v>
      </c>
      <c r="U40">
        <f t="shared" si="8"/>
        <v>1.729166666666667</v>
      </c>
      <c r="V40">
        <v>5.8</v>
      </c>
      <c r="X40">
        <f t="shared" si="17"/>
        <v>20.75</v>
      </c>
      <c r="Y40">
        <f t="shared" si="9"/>
        <v>8.75</v>
      </c>
      <c r="Z40">
        <f t="shared" si="10"/>
        <v>0.22225</v>
      </c>
      <c r="AA40">
        <v>6</v>
      </c>
      <c r="AC40">
        <f t="shared" si="18"/>
        <v>20.75</v>
      </c>
      <c r="AD40">
        <f t="shared" si="11"/>
        <v>8.75</v>
      </c>
      <c r="AE40">
        <f t="shared" si="12"/>
        <v>0.22225</v>
      </c>
      <c r="AF40">
        <v>6</v>
      </c>
    </row>
    <row r="41" spans="1:32" x14ac:dyDescent="0.5">
      <c r="A41">
        <f t="shared" si="13"/>
        <v>15</v>
      </c>
      <c r="B41">
        <f>A41-6</f>
        <v>9</v>
      </c>
      <c r="C41">
        <f t="shared" si="0"/>
        <v>0.38100000000000001</v>
      </c>
      <c r="D41">
        <f t="shared" si="1"/>
        <v>2.5000000000000004</v>
      </c>
      <c r="E41">
        <v>9.8000000000000007</v>
      </c>
      <c r="G41">
        <f t="shared" si="14"/>
        <v>15</v>
      </c>
      <c r="H41">
        <f t="shared" si="2"/>
        <v>9</v>
      </c>
      <c r="I41">
        <f t="shared" si="3"/>
        <v>0.2286</v>
      </c>
      <c r="J41">
        <v>9.4</v>
      </c>
      <c r="L41">
        <f t="shared" si="15"/>
        <v>15</v>
      </c>
      <c r="M41">
        <f t="shared" si="4"/>
        <v>9</v>
      </c>
      <c r="N41">
        <f t="shared" si="5"/>
        <v>0.2286</v>
      </c>
      <c r="O41">
        <v>9.6</v>
      </c>
      <c r="R41">
        <f t="shared" si="16"/>
        <v>21</v>
      </c>
      <c r="S41">
        <f t="shared" si="6"/>
        <v>9</v>
      </c>
      <c r="T41">
        <f t="shared" si="7"/>
        <v>0.53339999999999999</v>
      </c>
      <c r="U41">
        <f t="shared" si="8"/>
        <v>1.7500000000000002</v>
      </c>
      <c r="V41">
        <v>6</v>
      </c>
      <c r="X41">
        <f t="shared" si="17"/>
        <v>21</v>
      </c>
      <c r="Y41">
        <f t="shared" si="9"/>
        <v>9</v>
      </c>
      <c r="Z41">
        <f t="shared" si="10"/>
        <v>0.2286</v>
      </c>
      <c r="AA41">
        <v>6.2</v>
      </c>
      <c r="AC41">
        <f t="shared" si="18"/>
        <v>21</v>
      </c>
      <c r="AD41">
        <f t="shared" si="11"/>
        <v>9</v>
      </c>
      <c r="AE41">
        <f t="shared" si="12"/>
        <v>0.2286</v>
      </c>
      <c r="AF41">
        <v>6.2</v>
      </c>
    </row>
    <row r="42" spans="1:32" x14ac:dyDescent="0.5">
      <c r="A42">
        <f t="shared" si="13"/>
        <v>15.25</v>
      </c>
      <c r="B42">
        <f>A42-6</f>
        <v>9.25</v>
      </c>
      <c r="C42">
        <f t="shared" si="0"/>
        <v>0.38734999999999997</v>
      </c>
      <c r="D42">
        <f t="shared" si="1"/>
        <v>2.541666666666667</v>
      </c>
      <c r="E42">
        <v>10</v>
      </c>
      <c r="G42">
        <f t="shared" si="14"/>
        <v>15.25</v>
      </c>
      <c r="H42">
        <f t="shared" si="2"/>
        <v>9.25</v>
      </c>
      <c r="I42">
        <f t="shared" si="3"/>
        <v>0.23494999999999999</v>
      </c>
      <c r="J42">
        <v>9.6</v>
      </c>
      <c r="L42">
        <f t="shared" si="15"/>
        <v>15.25</v>
      </c>
      <c r="M42">
        <f t="shared" si="4"/>
        <v>9.25</v>
      </c>
      <c r="N42">
        <f t="shared" si="5"/>
        <v>0.23494999999999999</v>
      </c>
      <c r="O42">
        <v>9.6</v>
      </c>
      <c r="R42">
        <f t="shared" si="16"/>
        <v>21.25</v>
      </c>
      <c r="S42">
        <f t="shared" si="6"/>
        <v>9.25</v>
      </c>
      <c r="T42">
        <f t="shared" si="7"/>
        <v>0.53974999999999995</v>
      </c>
      <c r="U42">
        <f t="shared" si="8"/>
        <v>1.7708333333333335</v>
      </c>
      <c r="V42">
        <v>6</v>
      </c>
      <c r="X42">
        <f t="shared" si="17"/>
        <v>21.25</v>
      </c>
      <c r="Y42">
        <f t="shared" si="9"/>
        <v>9.25</v>
      </c>
      <c r="Z42">
        <f t="shared" si="10"/>
        <v>0.23494999999999999</v>
      </c>
      <c r="AA42">
        <v>6.2</v>
      </c>
      <c r="AC42">
        <f t="shared" si="18"/>
        <v>21.25</v>
      </c>
      <c r="AD42">
        <f t="shared" si="11"/>
        <v>9.25</v>
      </c>
      <c r="AE42">
        <f t="shared" si="12"/>
        <v>0.23494999999999999</v>
      </c>
      <c r="AF42">
        <v>6.2</v>
      </c>
    </row>
    <row r="43" spans="1:32" x14ac:dyDescent="0.5">
      <c r="A43">
        <f t="shared" si="13"/>
        <v>15.5</v>
      </c>
      <c r="B43">
        <f>A43-6</f>
        <v>9.5</v>
      </c>
      <c r="C43">
        <f t="shared" si="0"/>
        <v>0.39369999999999999</v>
      </c>
      <c r="D43">
        <f t="shared" si="1"/>
        <v>2.5833333333333335</v>
      </c>
      <c r="E43">
        <v>10.4</v>
      </c>
      <c r="G43">
        <f t="shared" si="14"/>
        <v>15.5</v>
      </c>
      <c r="H43">
        <f t="shared" si="2"/>
        <v>9.5</v>
      </c>
      <c r="I43">
        <f t="shared" si="3"/>
        <v>0.24129999999999999</v>
      </c>
      <c r="J43">
        <v>9.8000000000000007</v>
      </c>
      <c r="L43">
        <f t="shared" si="15"/>
        <v>15.5</v>
      </c>
      <c r="M43">
        <f t="shared" si="4"/>
        <v>9.5</v>
      </c>
      <c r="N43">
        <f t="shared" si="5"/>
        <v>0.24129999999999999</v>
      </c>
      <c r="O43">
        <v>9.8000000000000007</v>
      </c>
      <c r="R43">
        <f t="shared" si="16"/>
        <v>21.5</v>
      </c>
      <c r="S43">
        <f t="shared" si="6"/>
        <v>9.5</v>
      </c>
      <c r="T43">
        <f t="shared" si="7"/>
        <v>0.54610000000000003</v>
      </c>
      <c r="U43">
        <f t="shared" si="8"/>
        <v>1.791666666666667</v>
      </c>
      <c r="V43">
        <v>6.2</v>
      </c>
      <c r="X43">
        <f t="shared" si="17"/>
        <v>21.5</v>
      </c>
      <c r="Y43">
        <f t="shared" si="9"/>
        <v>9.5</v>
      </c>
      <c r="Z43">
        <f t="shared" si="10"/>
        <v>0.24129999999999999</v>
      </c>
      <c r="AA43">
        <v>6.4</v>
      </c>
      <c r="AC43">
        <f t="shared" si="18"/>
        <v>21.5</v>
      </c>
      <c r="AD43">
        <f t="shared" si="11"/>
        <v>9.5</v>
      </c>
      <c r="AE43">
        <f t="shared" si="12"/>
        <v>0.24129999999999999</v>
      </c>
      <c r="AF43">
        <v>6.2</v>
      </c>
    </row>
    <row r="44" spans="1:32" x14ac:dyDescent="0.5">
      <c r="A44">
        <f t="shared" si="13"/>
        <v>15.75</v>
      </c>
      <c r="B44">
        <f>A44-6</f>
        <v>9.75</v>
      </c>
      <c r="C44">
        <f t="shared" si="0"/>
        <v>0.40004999999999996</v>
      </c>
      <c r="D44">
        <f t="shared" si="1"/>
        <v>2.625</v>
      </c>
      <c r="E44">
        <v>10.4</v>
      </c>
      <c r="G44">
        <f t="shared" si="14"/>
        <v>15.75</v>
      </c>
      <c r="H44">
        <f t="shared" si="2"/>
        <v>9.75</v>
      </c>
      <c r="I44">
        <f t="shared" si="3"/>
        <v>0.24764999999999998</v>
      </c>
      <c r="J44">
        <v>10</v>
      </c>
      <c r="L44">
        <f t="shared" si="15"/>
        <v>15.75</v>
      </c>
      <c r="M44">
        <f t="shared" si="4"/>
        <v>9.75</v>
      </c>
      <c r="N44">
        <f t="shared" si="5"/>
        <v>0.24764999999999998</v>
      </c>
      <c r="O44">
        <v>10</v>
      </c>
      <c r="R44">
        <f t="shared" si="16"/>
        <v>21.75</v>
      </c>
      <c r="S44">
        <f t="shared" si="6"/>
        <v>9.75</v>
      </c>
      <c r="T44">
        <f t="shared" si="7"/>
        <v>0.55245</v>
      </c>
      <c r="U44">
        <f t="shared" si="8"/>
        <v>1.8125000000000002</v>
      </c>
      <c r="V44">
        <v>6.2</v>
      </c>
      <c r="X44">
        <f t="shared" si="17"/>
        <v>21.75</v>
      </c>
      <c r="Y44">
        <f t="shared" si="9"/>
        <v>9.75</v>
      </c>
      <c r="Z44">
        <f t="shared" si="10"/>
        <v>0.24764999999999998</v>
      </c>
      <c r="AA44">
        <v>6.4</v>
      </c>
      <c r="AC44">
        <f t="shared" si="18"/>
        <v>21.75</v>
      </c>
      <c r="AD44">
        <f t="shared" si="11"/>
        <v>9.75</v>
      </c>
      <c r="AE44">
        <f t="shared" si="12"/>
        <v>0.24764999999999998</v>
      </c>
      <c r="AF44">
        <v>6.4</v>
      </c>
    </row>
    <row r="45" spans="1:32" x14ac:dyDescent="0.5">
      <c r="A45">
        <f t="shared" si="13"/>
        <v>16</v>
      </c>
      <c r="B45">
        <f>A45-6</f>
        <v>10</v>
      </c>
      <c r="C45">
        <f t="shared" si="0"/>
        <v>0.40639999999999998</v>
      </c>
      <c r="D45">
        <f t="shared" si="1"/>
        <v>2.666666666666667</v>
      </c>
      <c r="E45">
        <v>10.8</v>
      </c>
      <c r="G45">
        <f t="shared" si="14"/>
        <v>16</v>
      </c>
      <c r="H45">
        <f t="shared" si="2"/>
        <v>10</v>
      </c>
      <c r="I45">
        <f t="shared" si="3"/>
        <v>0.254</v>
      </c>
      <c r="J45">
        <v>10.199999999999999</v>
      </c>
      <c r="L45">
        <f t="shared" si="15"/>
        <v>16</v>
      </c>
      <c r="M45">
        <f t="shared" si="4"/>
        <v>10</v>
      </c>
      <c r="N45">
        <f t="shared" si="5"/>
        <v>0.254</v>
      </c>
      <c r="O45">
        <v>10.199999999999999</v>
      </c>
      <c r="R45">
        <f t="shared" si="16"/>
        <v>22</v>
      </c>
      <c r="S45">
        <f t="shared" si="6"/>
        <v>10</v>
      </c>
      <c r="T45">
        <f t="shared" si="7"/>
        <v>0.55879999999999996</v>
      </c>
      <c r="U45">
        <f t="shared" si="8"/>
        <v>1.8333333333333335</v>
      </c>
      <c r="V45">
        <v>6.4</v>
      </c>
      <c r="X45">
        <f t="shared" si="17"/>
        <v>22</v>
      </c>
      <c r="Y45">
        <f t="shared" si="9"/>
        <v>10</v>
      </c>
      <c r="Z45">
        <f t="shared" si="10"/>
        <v>0.254</v>
      </c>
      <c r="AA45">
        <v>6.6</v>
      </c>
      <c r="AC45">
        <f t="shared" si="18"/>
        <v>22</v>
      </c>
      <c r="AD45">
        <f t="shared" si="11"/>
        <v>10</v>
      </c>
      <c r="AE45">
        <f t="shared" si="12"/>
        <v>0.254</v>
      </c>
      <c r="AF45">
        <v>6.6</v>
      </c>
    </row>
    <row r="46" spans="1:32" x14ac:dyDescent="0.5">
      <c r="A46">
        <f t="shared" si="13"/>
        <v>16.25</v>
      </c>
      <c r="B46">
        <f>A46-6</f>
        <v>10.25</v>
      </c>
      <c r="C46">
        <f t="shared" si="0"/>
        <v>0.41275000000000001</v>
      </c>
      <c r="D46">
        <f t="shared" si="1"/>
        <v>2.7083333333333339</v>
      </c>
      <c r="E46">
        <v>10.8</v>
      </c>
      <c r="G46">
        <f t="shared" si="14"/>
        <v>16.25</v>
      </c>
      <c r="H46">
        <f t="shared" si="2"/>
        <v>10.25</v>
      </c>
      <c r="I46">
        <f t="shared" si="3"/>
        <v>0.26034999999999997</v>
      </c>
      <c r="J46">
        <v>10.4</v>
      </c>
      <c r="L46">
        <f t="shared" si="15"/>
        <v>16.25</v>
      </c>
      <c r="M46">
        <f t="shared" si="4"/>
        <v>10.25</v>
      </c>
      <c r="N46">
        <f t="shared" si="5"/>
        <v>0.26034999999999997</v>
      </c>
      <c r="O46">
        <v>10.4</v>
      </c>
      <c r="R46">
        <f t="shared" si="16"/>
        <v>22.25</v>
      </c>
      <c r="S46">
        <f t="shared" si="6"/>
        <v>10.25</v>
      </c>
      <c r="T46">
        <f t="shared" si="7"/>
        <v>0.56514999999999993</v>
      </c>
      <c r="U46">
        <f t="shared" si="8"/>
        <v>1.8541666666666667</v>
      </c>
      <c r="V46">
        <v>6.4</v>
      </c>
      <c r="X46">
        <f t="shared" si="17"/>
        <v>22.25</v>
      </c>
      <c r="Y46">
        <f t="shared" si="9"/>
        <v>10.25</v>
      </c>
      <c r="Z46">
        <f t="shared" si="10"/>
        <v>0.26034999999999997</v>
      </c>
      <c r="AA46">
        <v>6.6</v>
      </c>
      <c r="AC46">
        <f t="shared" si="18"/>
        <v>22.25</v>
      </c>
      <c r="AD46">
        <f t="shared" si="11"/>
        <v>10.25</v>
      </c>
      <c r="AE46">
        <f t="shared" si="12"/>
        <v>0.26034999999999997</v>
      </c>
      <c r="AF46">
        <v>6.6</v>
      </c>
    </row>
    <row r="47" spans="1:32" x14ac:dyDescent="0.5">
      <c r="A47">
        <f>A46+0.25</f>
        <v>16.5</v>
      </c>
      <c r="B47">
        <f>A47-6</f>
        <v>10.5</v>
      </c>
      <c r="C47">
        <f t="shared" si="0"/>
        <v>0.41909999999999997</v>
      </c>
      <c r="D47">
        <f t="shared" si="1"/>
        <v>2.75</v>
      </c>
      <c r="E47">
        <v>11.2</v>
      </c>
      <c r="G47">
        <f>G46+0.25</f>
        <v>16.5</v>
      </c>
      <c r="H47">
        <f t="shared" si="2"/>
        <v>10.5</v>
      </c>
      <c r="I47">
        <f t="shared" si="3"/>
        <v>0.26669999999999999</v>
      </c>
      <c r="J47">
        <v>10.6</v>
      </c>
      <c r="L47">
        <f>L46+0.25</f>
        <v>16.5</v>
      </c>
      <c r="M47">
        <f t="shared" si="4"/>
        <v>10.5</v>
      </c>
      <c r="N47">
        <f t="shared" si="5"/>
        <v>0.26669999999999999</v>
      </c>
      <c r="O47">
        <v>10.6</v>
      </c>
      <c r="R47">
        <f t="shared" si="16"/>
        <v>22.5</v>
      </c>
      <c r="S47">
        <f t="shared" si="6"/>
        <v>10.5</v>
      </c>
      <c r="T47">
        <f t="shared" si="7"/>
        <v>0.57150000000000001</v>
      </c>
      <c r="U47">
        <f t="shared" si="8"/>
        <v>1.8750000000000002</v>
      </c>
      <c r="V47">
        <v>6.6</v>
      </c>
      <c r="X47">
        <f t="shared" si="17"/>
        <v>22.5</v>
      </c>
      <c r="Y47">
        <f t="shared" si="9"/>
        <v>10.5</v>
      </c>
      <c r="Z47">
        <f t="shared" si="10"/>
        <v>0.26669999999999999</v>
      </c>
      <c r="AA47">
        <v>6.8</v>
      </c>
      <c r="AC47">
        <f t="shared" si="18"/>
        <v>22.5</v>
      </c>
      <c r="AD47">
        <f t="shared" si="11"/>
        <v>10.5</v>
      </c>
      <c r="AE47">
        <f t="shared" si="12"/>
        <v>0.26669999999999999</v>
      </c>
      <c r="AF47">
        <v>6.6</v>
      </c>
    </row>
    <row r="48" spans="1:32" x14ac:dyDescent="0.5">
      <c r="A48">
        <f t="shared" ref="A48:A52" si="19">A47+0.25</f>
        <v>16.75</v>
      </c>
      <c r="B48">
        <f>A48-6</f>
        <v>10.75</v>
      </c>
      <c r="C48">
        <f t="shared" si="0"/>
        <v>0.42544999999999999</v>
      </c>
      <c r="D48">
        <f t="shared" si="1"/>
        <v>2.791666666666667</v>
      </c>
      <c r="E48">
        <v>11.4</v>
      </c>
      <c r="G48">
        <f t="shared" ref="G48:G52" si="20">G47+0.25</f>
        <v>16.75</v>
      </c>
      <c r="H48">
        <f t="shared" si="2"/>
        <v>10.75</v>
      </c>
      <c r="I48">
        <f t="shared" si="3"/>
        <v>0.27305000000000001</v>
      </c>
      <c r="J48">
        <v>10.8</v>
      </c>
      <c r="L48">
        <f t="shared" ref="L48:L52" si="21">L47+0.25</f>
        <v>16.75</v>
      </c>
      <c r="M48">
        <f t="shared" si="4"/>
        <v>10.75</v>
      </c>
      <c r="N48">
        <f t="shared" si="5"/>
        <v>0.27305000000000001</v>
      </c>
      <c r="O48">
        <v>10.8</v>
      </c>
      <c r="R48">
        <f>R47+0.25</f>
        <v>22.75</v>
      </c>
      <c r="S48">
        <f t="shared" si="6"/>
        <v>10.75</v>
      </c>
      <c r="T48">
        <f t="shared" si="7"/>
        <v>0.57784999999999997</v>
      </c>
      <c r="U48">
        <f t="shared" si="8"/>
        <v>1.8958333333333335</v>
      </c>
      <c r="V48">
        <v>6.6</v>
      </c>
      <c r="X48">
        <f>X47+0.25</f>
        <v>22.75</v>
      </c>
      <c r="Y48">
        <f t="shared" si="9"/>
        <v>10.75</v>
      </c>
      <c r="Z48">
        <f t="shared" si="10"/>
        <v>0.27305000000000001</v>
      </c>
      <c r="AA48">
        <v>6.8</v>
      </c>
      <c r="AC48">
        <f>AC47+0.25</f>
        <v>22.75</v>
      </c>
      <c r="AD48">
        <f t="shared" si="11"/>
        <v>10.75</v>
      </c>
      <c r="AE48">
        <f t="shared" si="12"/>
        <v>0.27305000000000001</v>
      </c>
      <c r="AF48">
        <v>6.8</v>
      </c>
    </row>
    <row r="49" spans="1:32" x14ac:dyDescent="0.5">
      <c r="A49">
        <f t="shared" si="19"/>
        <v>17</v>
      </c>
      <c r="B49">
        <f>A49-6</f>
        <v>11</v>
      </c>
      <c r="C49">
        <f t="shared" si="0"/>
        <v>0.43179999999999996</v>
      </c>
      <c r="D49">
        <f t="shared" si="1"/>
        <v>2.8333333333333335</v>
      </c>
      <c r="E49">
        <v>11.6</v>
      </c>
      <c r="G49">
        <f t="shared" si="20"/>
        <v>17</v>
      </c>
      <c r="H49">
        <f t="shared" si="2"/>
        <v>11</v>
      </c>
      <c r="I49">
        <f t="shared" si="3"/>
        <v>0.27939999999999998</v>
      </c>
      <c r="J49">
        <v>11</v>
      </c>
      <c r="L49">
        <f t="shared" si="21"/>
        <v>17</v>
      </c>
      <c r="M49">
        <f t="shared" si="4"/>
        <v>11</v>
      </c>
      <c r="N49">
        <f t="shared" si="5"/>
        <v>0.27939999999999998</v>
      </c>
      <c r="O49">
        <v>11</v>
      </c>
      <c r="R49">
        <f t="shared" si="16"/>
        <v>23</v>
      </c>
      <c r="S49">
        <f t="shared" si="6"/>
        <v>11</v>
      </c>
      <c r="T49">
        <f t="shared" si="7"/>
        <v>0.58419999999999994</v>
      </c>
      <c r="U49">
        <f t="shared" si="8"/>
        <v>1.9166666666666667</v>
      </c>
      <c r="V49">
        <v>6.8</v>
      </c>
      <c r="X49">
        <f t="shared" si="17"/>
        <v>23</v>
      </c>
      <c r="Y49">
        <f t="shared" si="9"/>
        <v>11</v>
      </c>
      <c r="Z49">
        <f t="shared" si="10"/>
        <v>0.27939999999999998</v>
      </c>
      <c r="AA49">
        <v>6.8</v>
      </c>
      <c r="AC49">
        <f t="shared" si="18"/>
        <v>23</v>
      </c>
      <c r="AD49">
        <f t="shared" si="11"/>
        <v>11</v>
      </c>
      <c r="AE49">
        <f t="shared" si="12"/>
        <v>0.27939999999999998</v>
      </c>
      <c r="AF49">
        <v>6.8</v>
      </c>
    </row>
    <row r="50" spans="1:32" x14ac:dyDescent="0.5">
      <c r="A50">
        <f t="shared" si="19"/>
        <v>17.25</v>
      </c>
      <c r="B50">
        <f>A50-6</f>
        <v>11.25</v>
      </c>
      <c r="C50">
        <f t="shared" si="0"/>
        <v>0.43814999999999998</v>
      </c>
      <c r="D50">
        <f t="shared" si="1"/>
        <v>2.8750000000000004</v>
      </c>
      <c r="E50">
        <v>11.8</v>
      </c>
      <c r="G50">
        <f t="shared" si="20"/>
        <v>17.25</v>
      </c>
      <c r="H50">
        <f t="shared" si="2"/>
        <v>11.25</v>
      </c>
      <c r="I50">
        <f t="shared" si="3"/>
        <v>0.28575</v>
      </c>
      <c r="J50">
        <v>11.2</v>
      </c>
      <c r="L50">
        <f t="shared" si="21"/>
        <v>17.25</v>
      </c>
      <c r="M50">
        <f t="shared" si="4"/>
        <v>11.25</v>
      </c>
      <c r="N50">
        <f t="shared" si="5"/>
        <v>0.28575</v>
      </c>
      <c r="O50">
        <v>11.4</v>
      </c>
      <c r="R50">
        <f t="shared" si="16"/>
        <v>23.25</v>
      </c>
      <c r="S50">
        <f t="shared" si="6"/>
        <v>11.25</v>
      </c>
      <c r="T50">
        <f t="shared" si="7"/>
        <v>0.59055000000000002</v>
      </c>
      <c r="U50">
        <f t="shared" si="8"/>
        <v>1.9375000000000002</v>
      </c>
      <c r="V50">
        <v>6.8</v>
      </c>
      <c r="X50">
        <f t="shared" si="17"/>
        <v>23.25</v>
      </c>
      <c r="Y50">
        <f t="shared" si="9"/>
        <v>11.25</v>
      </c>
      <c r="Z50">
        <f t="shared" si="10"/>
        <v>0.28575</v>
      </c>
      <c r="AA50">
        <v>7</v>
      </c>
      <c r="AC50">
        <f t="shared" si="18"/>
        <v>23.25</v>
      </c>
      <c r="AD50">
        <f t="shared" si="11"/>
        <v>11.25</v>
      </c>
      <c r="AE50">
        <f t="shared" si="12"/>
        <v>0.28575</v>
      </c>
      <c r="AF50">
        <v>7</v>
      </c>
    </row>
    <row r="51" spans="1:32" x14ac:dyDescent="0.5">
      <c r="A51">
        <f t="shared" si="19"/>
        <v>17.5</v>
      </c>
      <c r="B51">
        <f>A51-6</f>
        <v>11.5</v>
      </c>
      <c r="C51">
        <f t="shared" si="0"/>
        <v>0.44450000000000001</v>
      </c>
      <c r="D51">
        <f t="shared" si="1"/>
        <v>2.916666666666667</v>
      </c>
      <c r="E51">
        <v>12</v>
      </c>
      <c r="G51">
        <f t="shared" si="20"/>
        <v>17.5</v>
      </c>
      <c r="H51">
        <f t="shared" si="2"/>
        <v>11.5</v>
      </c>
      <c r="I51">
        <f t="shared" si="3"/>
        <v>0.29209999999999997</v>
      </c>
      <c r="J51">
        <v>11.4</v>
      </c>
      <c r="L51">
        <f t="shared" si="21"/>
        <v>17.5</v>
      </c>
      <c r="M51">
        <f t="shared" si="4"/>
        <v>11.5</v>
      </c>
      <c r="N51">
        <f t="shared" si="5"/>
        <v>0.29209999999999997</v>
      </c>
      <c r="O51">
        <v>11.6</v>
      </c>
      <c r="R51">
        <f t="shared" si="16"/>
        <v>23.5</v>
      </c>
      <c r="S51">
        <f t="shared" si="6"/>
        <v>11.5</v>
      </c>
      <c r="T51">
        <f t="shared" si="7"/>
        <v>0.59689999999999999</v>
      </c>
      <c r="U51">
        <f t="shared" si="8"/>
        <v>1.9583333333333335</v>
      </c>
      <c r="V51">
        <v>7</v>
      </c>
      <c r="X51">
        <f t="shared" si="17"/>
        <v>23.5</v>
      </c>
      <c r="Y51">
        <f t="shared" si="9"/>
        <v>11.5</v>
      </c>
      <c r="Z51">
        <f t="shared" si="10"/>
        <v>0.29209999999999997</v>
      </c>
      <c r="AA51">
        <v>7.2</v>
      </c>
      <c r="AC51">
        <f t="shared" si="18"/>
        <v>23.5</v>
      </c>
      <c r="AD51">
        <f t="shared" si="11"/>
        <v>11.5</v>
      </c>
      <c r="AE51">
        <f t="shared" si="12"/>
        <v>0.29209999999999997</v>
      </c>
      <c r="AF51">
        <v>7</v>
      </c>
    </row>
    <row r="52" spans="1:32" x14ac:dyDescent="0.5">
      <c r="A52">
        <f t="shared" si="19"/>
        <v>17.75</v>
      </c>
      <c r="B52">
        <f>A52-6</f>
        <v>11.75</v>
      </c>
      <c r="C52">
        <f t="shared" si="0"/>
        <v>0.45084999999999997</v>
      </c>
      <c r="D52">
        <f t="shared" si="1"/>
        <v>2.9583333333333335</v>
      </c>
      <c r="E52">
        <v>12.4</v>
      </c>
      <c r="G52">
        <f t="shared" si="20"/>
        <v>17.75</v>
      </c>
      <c r="H52">
        <f t="shared" si="2"/>
        <v>11.75</v>
      </c>
      <c r="I52">
        <f t="shared" si="3"/>
        <v>0.29844999999999999</v>
      </c>
      <c r="J52">
        <v>11.6</v>
      </c>
      <c r="L52">
        <f t="shared" si="21"/>
        <v>17.75</v>
      </c>
      <c r="M52">
        <f t="shared" si="4"/>
        <v>11.75</v>
      </c>
      <c r="N52">
        <f t="shared" si="5"/>
        <v>0.29844999999999999</v>
      </c>
      <c r="O52">
        <v>11.8</v>
      </c>
      <c r="R52">
        <f t="shared" si="16"/>
        <v>23.75</v>
      </c>
      <c r="S52">
        <f t="shared" si="6"/>
        <v>11.75</v>
      </c>
      <c r="T52">
        <f t="shared" si="7"/>
        <v>0.60324999999999995</v>
      </c>
      <c r="U52">
        <f t="shared" si="8"/>
        <v>1.9791666666666667</v>
      </c>
      <c r="V52">
        <v>7</v>
      </c>
      <c r="X52">
        <f t="shared" si="17"/>
        <v>23.75</v>
      </c>
      <c r="Y52">
        <f t="shared" si="9"/>
        <v>11.75</v>
      </c>
      <c r="Z52">
        <f t="shared" si="10"/>
        <v>0.29844999999999999</v>
      </c>
      <c r="AA52">
        <v>7.2</v>
      </c>
      <c r="AC52">
        <f t="shared" si="18"/>
        <v>23.75</v>
      </c>
      <c r="AD52">
        <f t="shared" si="11"/>
        <v>11.75</v>
      </c>
      <c r="AE52">
        <f t="shared" si="12"/>
        <v>0.29844999999999999</v>
      </c>
      <c r="AF52">
        <v>7.2</v>
      </c>
    </row>
    <row r="53" spans="1:32" x14ac:dyDescent="0.5">
      <c r="A53">
        <f>A52+0.25</f>
        <v>18</v>
      </c>
      <c r="B53">
        <f>A53-6</f>
        <v>12</v>
      </c>
      <c r="C53">
        <f t="shared" si="0"/>
        <v>0.4572</v>
      </c>
      <c r="D53">
        <f t="shared" si="1"/>
        <v>3.0000000000000004</v>
      </c>
      <c r="E53">
        <v>12.4</v>
      </c>
      <c r="G53">
        <f>G52+0.25</f>
        <v>18</v>
      </c>
      <c r="H53">
        <f t="shared" si="2"/>
        <v>12</v>
      </c>
      <c r="I53">
        <f t="shared" si="3"/>
        <v>0.30479999999999996</v>
      </c>
      <c r="J53">
        <v>11.8</v>
      </c>
      <c r="L53">
        <f>L52+0.25</f>
        <v>18</v>
      </c>
      <c r="M53">
        <f t="shared" si="4"/>
        <v>12</v>
      </c>
      <c r="N53">
        <f t="shared" si="5"/>
        <v>0.30479999999999996</v>
      </c>
      <c r="O53">
        <v>12</v>
      </c>
      <c r="R53">
        <f t="shared" si="16"/>
        <v>24</v>
      </c>
      <c r="S53">
        <f t="shared" si="6"/>
        <v>12</v>
      </c>
      <c r="T53">
        <f t="shared" si="7"/>
        <v>0.60959999999999992</v>
      </c>
      <c r="U53">
        <f t="shared" si="8"/>
        <v>2</v>
      </c>
      <c r="V53">
        <v>7.2</v>
      </c>
      <c r="X53">
        <f t="shared" si="17"/>
        <v>24</v>
      </c>
      <c r="Y53">
        <f t="shared" si="9"/>
        <v>12</v>
      </c>
      <c r="Z53">
        <f t="shared" si="10"/>
        <v>0.30479999999999996</v>
      </c>
      <c r="AA53">
        <v>7.2</v>
      </c>
      <c r="AC53">
        <f t="shared" si="18"/>
        <v>24</v>
      </c>
      <c r="AD53">
        <f t="shared" si="11"/>
        <v>12</v>
      </c>
      <c r="AE53">
        <f t="shared" si="12"/>
        <v>0.30479999999999996</v>
      </c>
      <c r="AF53">
        <v>7.2</v>
      </c>
    </row>
    <row r="54" spans="1:32" x14ac:dyDescent="0.5">
      <c r="R54">
        <f t="shared" si="16"/>
        <v>24.25</v>
      </c>
      <c r="S54">
        <f t="shared" si="6"/>
        <v>12.25</v>
      </c>
      <c r="T54">
        <f t="shared" si="7"/>
        <v>0.61595</v>
      </c>
      <c r="U54">
        <f t="shared" si="8"/>
        <v>2.0208333333333335</v>
      </c>
      <c r="V54">
        <v>7.2</v>
      </c>
      <c r="X54">
        <f t="shared" si="17"/>
        <v>24.25</v>
      </c>
      <c r="Y54">
        <f t="shared" si="9"/>
        <v>12.25</v>
      </c>
      <c r="Z54">
        <f t="shared" si="10"/>
        <v>0.31114999999999998</v>
      </c>
      <c r="AA54">
        <v>7.4</v>
      </c>
      <c r="AC54">
        <f t="shared" si="18"/>
        <v>24.25</v>
      </c>
      <c r="AD54">
        <f t="shared" si="11"/>
        <v>12.25</v>
      </c>
      <c r="AE54">
        <f t="shared" si="12"/>
        <v>0.31114999999999998</v>
      </c>
      <c r="AF54">
        <v>7.4</v>
      </c>
    </row>
    <row r="55" spans="1:32" x14ac:dyDescent="0.5">
      <c r="R55">
        <f t="shared" si="16"/>
        <v>24.5</v>
      </c>
      <c r="S55">
        <f t="shared" si="6"/>
        <v>12.5</v>
      </c>
      <c r="T55">
        <f t="shared" si="7"/>
        <v>0.62229999999999996</v>
      </c>
      <c r="U55">
        <f t="shared" si="8"/>
        <v>2.041666666666667</v>
      </c>
      <c r="V55">
        <v>7.2</v>
      </c>
      <c r="X55">
        <f t="shared" si="17"/>
        <v>24.5</v>
      </c>
      <c r="Y55">
        <f t="shared" si="9"/>
        <v>12.5</v>
      </c>
      <c r="Z55">
        <f t="shared" si="10"/>
        <v>0.3175</v>
      </c>
      <c r="AA55">
        <v>7.4</v>
      </c>
      <c r="AC55">
        <f t="shared" si="18"/>
        <v>24.5</v>
      </c>
      <c r="AD55">
        <f t="shared" si="11"/>
        <v>12.5</v>
      </c>
      <c r="AE55">
        <f t="shared" si="12"/>
        <v>0.3175</v>
      </c>
      <c r="AF55">
        <v>7.4</v>
      </c>
    </row>
    <row r="56" spans="1:32" x14ac:dyDescent="0.5">
      <c r="R56">
        <f t="shared" si="16"/>
        <v>24.75</v>
      </c>
      <c r="S56">
        <f t="shared" si="6"/>
        <v>12.75</v>
      </c>
      <c r="T56">
        <f t="shared" si="7"/>
        <v>0.62864999999999993</v>
      </c>
      <c r="U56">
        <f t="shared" si="8"/>
        <v>2.0625</v>
      </c>
      <c r="V56">
        <v>7.4</v>
      </c>
      <c r="X56">
        <f t="shared" si="17"/>
        <v>24.75</v>
      </c>
      <c r="Y56">
        <f t="shared" si="9"/>
        <v>12.75</v>
      </c>
      <c r="Z56">
        <f t="shared" si="10"/>
        <v>0.32384999999999997</v>
      </c>
      <c r="AA56">
        <v>7.6</v>
      </c>
      <c r="AC56">
        <f t="shared" si="18"/>
        <v>24.75</v>
      </c>
      <c r="AD56">
        <f t="shared" si="11"/>
        <v>12.75</v>
      </c>
      <c r="AE56">
        <f t="shared" si="12"/>
        <v>0.32384999999999997</v>
      </c>
      <c r="AF56">
        <v>7.6</v>
      </c>
    </row>
    <row r="57" spans="1:32" x14ac:dyDescent="0.5">
      <c r="R57">
        <f t="shared" si="16"/>
        <v>25</v>
      </c>
      <c r="S57">
        <f t="shared" si="6"/>
        <v>13</v>
      </c>
      <c r="T57">
        <f t="shared" si="7"/>
        <v>0.63500000000000001</v>
      </c>
      <c r="U57">
        <f t="shared" si="8"/>
        <v>2.0833333333333335</v>
      </c>
      <c r="V57">
        <v>7.6</v>
      </c>
      <c r="X57">
        <f t="shared" si="17"/>
        <v>25</v>
      </c>
      <c r="Y57">
        <f t="shared" si="9"/>
        <v>13</v>
      </c>
      <c r="Z57">
        <f t="shared" si="10"/>
        <v>0.33019999999999999</v>
      </c>
      <c r="AA57">
        <v>7.6</v>
      </c>
      <c r="AC57">
        <f t="shared" si="18"/>
        <v>25</v>
      </c>
      <c r="AD57">
        <f t="shared" si="11"/>
        <v>13</v>
      </c>
      <c r="AE57">
        <f t="shared" si="12"/>
        <v>0.33019999999999999</v>
      </c>
      <c r="AF57">
        <v>7.6</v>
      </c>
    </row>
    <row r="58" spans="1:32" x14ac:dyDescent="0.5">
      <c r="R58">
        <f t="shared" si="16"/>
        <v>25.25</v>
      </c>
      <c r="S58">
        <f t="shared" si="6"/>
        <v>13.25</v>
      </c>
      <c r="T58">
        <f t="shared" si="7"/>
        <v>0.64134999999999998</v>
      </c>
      <c r="U58">
        <f t="shared" si="8"/>
        <v>2.104166666666667</v>
      </c>
      <c r="V58">
        <v>7.6</v>
      </c>
      <c r="X58">
        <f t="shared" si="17"/>
        <v>25.25</v>
      </c>
      <c r="Y58">
        <f t="shared" si="9"/>
        <v>13.25</v>
      </c>
      <c r="Z58">
        <f t="shared" si="10"/>
        <v>0.33654999999999996</v>
      </c>
      <c r="AA58">
        <v>7.8</v>
      </c>
      <c r="AC58">
        <f t="shared" si="18"/>
        <v>25.25</v>
      </c>
      <c r="AD58">
        <f t="shared" si="11"/>
        <v>13.25</v>
      </c>
      <c r="AE58">
        <f t="shared" si="12"/>
        <v>0.33654999999999996</v>
      </c>
      <c r="AF58">
        <v>7.8</v>
      </c>
    </row>
    <row r="59" spans="1:32" x14ac:dyDescent="0.5">
      <c r="R59">
        <f t="shared" si="16"/>
        <v>25.5</v>
      </c>
      <c r="S59">
        <f t="shared" si="6"/>
        <v>13.5</v>
      </c>
      <c r="T59">
        <f t="shared" si="7"/>
        <v>0.64769999999999994</v>
      </c>
      <c r="U59">
        <f t="shared" si="8"/>
        <v>2.125</v>
      </c>
      <c r="V59">
        <v>7.6</v>
      </c>
      <c r="X59">
        <f t="shared" si="17"/>
        <v>25.5</v>
      </c>
      <c r="Y59">
        <f t="shared" si="9"/>
        <v>13.5</v>
      </c>
      <c r="Z59">
        <f t="shared" si="10"/>
        <v>0.34289999999999998</v>
      </c>
      <c r="AA59">
        <v>7.8</v>
      </c>
      <c r="AC59">
        <f t="shared" si="18"/>
        <v>25.5</v>
      </c>
      <c r="AD59">
        <f t="shared" si="11"/>
        <v>13.5</v>
      </c>
      <c r="AE59">
        <f t="shared" si="12"/>
        <v>0.34289999999999998</v>
      </c>
      <c r="AF59">
        <v>7.8</v>
      </c>
    </row>
    <row r="60" spans="1:32" x14ac:dyDescent="0.5">
      <c r="R60">
        <f t="shared" si="16"/>
        <v>25.75</v>
      </c>
      <c r="S60">
        <f t="shared" si="6"/>
        <v>13.75</v>
      </c>
      <c r="T60">
        <f t="shared" si="7"/>
        <v>0.65405000000000002</v>
      </c>
      <c r="U60">
        <f t="shared" si="8"/>
        <v>2.1458333333333335</v>
      </c>
      <c r="V60">
        <v>7.8</v>
      </c>
      <c r="X60">
        <f t="shared" si="17"/>
        <v>25.75</v>
      </c>
      <c r="Y60">
        <f t="shared" si="9"/>
        <v>13.75</v>
      </c>
      <c r="Z60">
        <f t="shared" si="10"/>
        <v>0.34925</v>
      </c>
      <c r="AA60">
        <v>7.8</v>
      </c>
      <c r="AC60">
        <f t="shared" si="18"/>
        <v>25.75</v>
      </c>
      <c r="AD60">
        <f t="shared" si="11"/>
        <v>13.75</v>
      </c>
      <c r="AE60">
        <f t="shared" si="12"/>
        <v>0.34925</v>
      </c>
      <c r="AF60">
        <v>8</v>
      </c>
    </row>
    <row r="61" spans="1:32" x14ac:dyDescent="0.5">
      <c r="R61">
        <f t="shared" si="16"/>
        <v>26</v>
      </c>
      <c r="S61">
        <f t="shared" si="6"/>
        <v>14</v>
      </c>
      <c r="T61">
        <f t="shared" si="7"/>
        <v>0.66039999999999999</v>
      </c>
      <c r="U61">
        <f t="shared" si="8"/>
        <v>2.166666666666667</v>
      </c>
      <c r="V61">
        <v>7.8</v>
      </c>
      <c r="X61">
        <f t="shared" si="17"/>
        <v>26</v>
      </c>
      <c r="Y61">
        <f t="shared" si="9"/>
        <v>14</v>
      </c>
      <c r="Z61">
        <f t="shared" si="10"/>
        <v>0.35559999999999997</v>
      </c>
      <c r="AA61">
        <v>8</v>
      </c>
      <c r="AC61">
        <f t="shared" si="18"/>
        <v>26</v>
      </c>
      <c r="AD61">
        <f t="shared" si="11"/>
        <v>14</v>
      </c>
      <c r="AE61">
        <f t="shared" si="12"/>
        <v>0.35559999999999997</v>
      </c>
      <c r="AF61">
        <v>8</v>
      </c>
    </row>
    <row r="62" spans="1:32" x14ac:dyDescent="0.5">
      <c r="R62">
        <f t="shared" si="16"/>
        <v>26.25</v>
      </c>
      <c r="S62">
        <f t="shared" si="6"/>
        <v>14.25</v>
      </c>
      <c r="T62">
        <f t="shared" si="7"/>
        <v>0.66674999999999995</v>
      </c>
      <c r="U62">
        <f t="shared" si="8"/>
        <v>2.1875</v>
      </c>
      <c r="V62">
        <v>7.8</v>
      </c>
      <c r="X62">
        <f t="shared" si="17"/>
        <v>26.25</v>
      </c>
      <c r="Y62">
        <f t="shared" si="9"/>
        <v>14.25</v>
      </c>
      <c r="Z62">
        <f t="shared" si="10"/>
        <v>0.36194999999999999</v>
      </c>
      <c r="AA62">
        <v>8</v>
      </c>
      <c r="AC62">
        <f t="shared" si="18"/>
        <v>26.25</v>
      </c>
      <c r="AD62">
        <f t="shared" si="11"/>
        <v>14.25</v>
      </c>
      <c r="AE62">
        <f t="shared" si="12"/>
        <v>0.36194999999999999</v>
      </c>
      <c r="AF62">
        <v>8</v>
      </c>
    </row>
    <row r="63" spans="1:32" x14ac:dyDescent="0.5">
      <c r="R63">
        <f t="shared" si="16"/>
        <v>26.5</v>
      </c>
      <c r="S63">
        <f t="shared" si="6"/>
        <v>14.5</v>
      </c>
      <c r="T63">
        <f t="shared" si="7"/>
        <v>0.67309999999999992</v>
      </c>
      <c r="U63">
        <f t="shared" si="8"/>
        <v>2.2083333333333335</v>
      </c>
      <c r="V63">
        <v>8</v>
      </c>
      <c r="X63">
        <f t="shared" si="17"/>
        <v>26.5</v>
      </c>
      <c r="Y63">
        <f t="shared" si="9"/>
        <v>14.5</v>
      </c>
      <c r="Z63">
        <f t="shared" si="10"/>
        <v>0.36829999999999996</v>
      </c>
      <c r="AA63">
        <v>8.1999999999999993</v>
      </c>
      <c r="AC63">
        <f t="shared" si="18"/>
        <v>26.5</v>
      </c>
      <c r="AD63">
        <f t="shared" si="11"/>
        <v>14.5</v>
      </c>
      <c r="AE63">
        <f t="shared" si="12"/>
        <v>0.36829999999999996</v>
      </c>
      <c r="AF63">
        <v>8.1999999999999993</v>
      </c>
    </row>
    <row r="64" spans="1:32" x14ac:dyDescent="0.5">
      <c r="R64">
        <f t="shared" si="16"/>
        <v>26.75</v>
      </c>
      <c r="S64">
        <f t="shared" si="6"/>
        <v>14.75</v>
      </c>
      <c r="T64">
        <f t="shared" si="7"/>
        <v>0.67945</v>
      </c>
      <c r="U64">
        <f t="shared" si="8"/>
        <v>2.229166666666667</v>
      </c>
      <c r="V64">
        <v>8</v>
      </c>
      <c r="X64">
        <f t="shared" si="17"/>
        <v>26.75</v>
      </c>
      <c r="Y64">
        <f t="shared" si="9"/>
        <v>14.75</v>
      </c>
      <c r="Z64">
        <f t="shared" si="10"/>
        <v>0.37464999999999998</v>
      </c>
      <c r="AA64">
        <v>8.1999999999999993</v>
      </c>
      <c r="AC64">
        <f t="shared" si="18"/>
        <v>26.75</v>
      </c>
      <c r="AD64">
        <f t="shared" si="11"/>
        <v>14.75</v>
      </c>
      <c r="AE64">
        <f t="shared" si="12"/>
        <v>0.37464999999999998</v>
      </c>
      <c r="AF64">
        <v>8.1999999999999993</v>
      </c>
    </row>
    <row r="65" spans="18:32" x14ac:dyDescent="0.5">
      <c r="R65">
        <f t="shared" si="16"/>
        <v>27</v>
      </c>
      <c r="S65">
        <f t="shared" si="6"/>
        <v>15</v>
      </c>
      <c r="T65">
        <f t="shared" si="7"/>
        <v>0.68579999999999997</v>
      </c>
      <c r="U65">
        <f t="shared" si="8"/>
        <v>2.25</v>
      </c>
      <c r="V65">
        <v>8.1999999999999993</v>
      </c>
      <c r="X65">
        <f t="shared" si="17"/>
        <v>27</v>
      </c>
      <c r="Y65">
        <f t="shared" si="9"/>
        <v>15</v>
      </c>
      <c r="Z65">
        <f t="shared" si="10"/>
        <v>0.38100000000000001</v>
      </c>
      <c r="AA65">
        <v>8.4</v>
      </c>
      <c r="AC65">
        <f t="shared" si="18"/>
        <v>27</v>
      </c>
      <c r="AD65">
        <f t="shared" si="11"/>
        <v>15</v>
      </c>
      <c r="AE65">
        <f t="shared" si="12"/>
        <v>0.38100000000000001</v>
      </c>
      <c r="AF65">
        <v>8.1999999999999993</v>
      </c>
    </row>
    <row r="66" spans="18:32" x14ac:dyDescent="0.5">
      <c r="R66">
        <f t="shared" si="16"/>
        <v>27.25</v>
      </c>
      <c r="S66">
        <f t="shared" si="6"/>
        <v>15.25</v>
      </c>
      <c r="T66">
        <f t="shared" si="7"/>
        <v>0.69214999999999993</v>
      </c>
      <c r="U66">
        <f t="shared" si="8"/>
        <v>2.2708333333333335</v>
      </c>
      <c r="V66">
        <v>8.1999999999999993</v>
      </c>
      <c r="X66">
        <f t="shared" si="17"/>
        <v>27.25</v>
      </c>
      <c r="Y66">
        <f t="shared" si="9"/>
        <v>15.25</v>
      </c>
      <c r="Z66">
        <f t="shared" si="10"/>
        <v>0.38734999999999997</v>
      </c>
      <c r="AA66">
        <v>8.4</v>
      </c>
      <c r="AC66">
        <f t="shared" si="18"/>
        <v>27.25</v>
      </c>
      <c r="AD66">
        <f t="shared" si="11"/>
        <v>15.25</v>
      </c>
      <c r="AE66">
        <f t="shared" si="12"/>
        <v>0.38734999999999997</v>
      </c>
      <c r="AF66">
        <v>8.4</v>
      </c>
    </row>
    <row r="67" spans="18:32" x14ac:dyDescent="0.5">
      <c r="R67">
        <f t="shared" si="16"/>
        <v>27.5</v>
      </c>
      <c r="S67">
        <f t="shared" si="6"/>
        <v>15.5</v>
      </c>
      <c r="T67">
        <f t="shared" si="7"/>
        <v>0.69850000000000001</v>
      </c>
      <c r="U67">
        <f t="shared" si="8"/>
        <v>2.291666666666667</v>
      </c>
      <c r="V67">
        <v>8.4</v>
      </c>
      <c r="X67">
        <f t="shared" si="17"/>
        <v>27.5</v>
      </c>
      <c r="Y67">
        <f t="shared" si="9"/>
        <v>15.5</v>
      </c>
      <c r="Z67">
        <f t="shared" si="10"/>
        <v>0.39369999999999999</v>
      </c>
      <c r="AA67">
        <v>8.6</v>
      </c>
      <c r="AC67">
        <f t="shared" si="18"/>
        <v>27.5</v>
      </c>
      <c r="AD67">
        <f t="shared" si="11"/>
        <v>15.5</v>
      </c>
      <c r="AE67">
        <f t="shared" si="12"/>
        <v>0.39369999999999999</v>
      </c>
      <c r="AF67">
        <v>8.4</v>
      </c>
    </row>
    <row r="68" spans="18:32" x14ac:dyDescent="0.5">
      <c r="R68">
        <f>R67+0.25</f>
        <v>27.75</v>
      </c>
      <c r="S68">
        <f t="shared" si="6"/>
        <v>15.75</v>
      </c>
      <c r="T68">
        <f t="shared" si="7"/>
        <v>0.70484999999999998</v>
      </c>
      <c r="U68">
        <f t="shared" si="8"/>
        <v>2.3125000000000004</v>
      </c>
      <c r="V68">
        <v>8.4</v>
      </c>
      <c r="X68">
        <f>X67+0.25</f>
        <v>27.75</v>
      </c>
      <c r="Y68">
        <f t="shared" si="9"/>
        <v>15.75</v>
      </c>
      <c r="Z68">
        <f t="shared" si="10"/>
        <v>0.40004999999999996</v>
      </c>
      <c r="AA68">
        <v>8.6</v>
      </c>
      <c r="AC68">
        <f>AC67+0.25</f>
        <v>27.75</v>
      </c>
      <c r="AD68">
        <f t="shared" si="11"/>
        <v>15.75</v>
      </c>
      <c r="AE68">
        <f t="shared" si="12"/>
        <v>0.40004999999999996</v>
      </c>
      <c r="AF68">
        <v>8.6</v>
      </c>
    </row>
    <row r="69" spans="18:32" x14ac:dyDescent="0.5">
      <c r="R69">
        <f t="shared" si="16"/>
        <v>28</v>
      </c>
      <c r="S69">
        <f t="shared" si="6"/>
        <v>16</v>
      </c>
      <c r="T69">
        <f t="shared" si="7"/>
        <v>0.71119999999999994</v>
      </c>
      <c r="U69">
        <f t="shared" si="8"/>
        <v>2.3333333333333335</v>
      </c>
      <c r="V69">
        <v>8.6</v>
      </c>
      <c r="X69">
        <f t="shared" si="17"/>
        <v>28</v>
      </c>
      <c r="Y69">
        <f t="shared" si="9"/>
        <v>16</v>
      </c>
      <c r="Z69">
        <f t="shared" si="10"/>
        <v>0.40639999999999998</v>
      </c>
      <c r="AA69">
        <v>8.8000000000000007</v>
      </c>
      <c r="AC69">
        <f t="shared" si="18"/>
        <v>28</v>
      </c>
      <c r="AD69">
        <f t="shared" si="11"/>
        <v>16</v>
      </c>
      <c r="AE69">
        <f t="shared" si="12"/>
        <v>0.40639999999999998</v>
      </c>
      <c r="AF69">
        <v>8.6</v>
      </c>
    </row>
    <row r="70" spans="18:32" x14ac:dyDescent="0.5">
      <c r="R70">
        <f t="shared" si="16"/>
        <v>28.25</v>
      </c>
      <c r="S70">
        <f t="shared" ref="S70:S101" si="22">R70-12</f>
        <v>16.25</v>
      </c>
      <c r="T70">
        <f t="shared" ref="T70:T100" si="23">R70*0.0254</f>
        <v>0.71755000000000002</v>
      </c>
      <c r="U70">
        <f t="shared" ref="U70:U101" si="24">T70/$T$5</f>
        <v>2.354166666666667</v>
      </c>
      <c r="V70">
        <v>8.6</v>
      </c>
      <c r="X70">
        <f t="shared" si="17"/>
        <v>28.25</v>
      </c>
      <c r="Y70">
        <f t="shared" ref="Y70:Y101" si="25">X70-12</f>
        <v>16.25</v>
      </c>
      <c r="Z70">
        <f t="shared" ref="Z70:Z101" si="26">Y70*0.0254</f>
        <v>0.41275000000000001</v>
      </c>
      <c r="AA70">
        <v>8.8000000000000007</v>
      </c>
      <c r="AC70">
        <f t="shared" si="18"/>
        <v>28.25</v>
      </c>
      <c r="AD70">
        <f t="shared" ref="AD70:AD101" si="27">AC70-12</f>
        <v>16.25</v>
      </c>
      <c r="AE70">
        <f t="shared" ref="AE70:AE101" si="28">AD70*0.0254</f>
        <v>0.41275000000000001</v>
      </c>
      <c r="AF70">
        <v>8.8000000000000007</v>
      </c>
    </row>
    <row r="71" spans="18:32" x14ac:dyDescent="0.5">
      <c r="R71">
        <f t="shared" si="16"/>
        <v>28.5</v>
      </c>
      <c r="S71">
        <f t="shared" si="22"/>
        <v>16.5</v>
      </c>
      <c r="T71">
        <f t="shared" si="23"/>
        <v>0.72389999999999999</v>
      </c>
      <c r="U71">
        <f t="shared" si="24"/>
        <v>2.3750000000000004</v>
      </c>
      <c r="V71">
        <v>8.6</v>
      </c>
      <c r="X71">
        <f t="shared" si="17"/>
        <v>28.5</v>
      </c>
      <c r="Y71">
        <f t="shared" si="25"/>
        <v>16.5</v>
      </c>
      <c r="Z71">
        <f t="shared" si="26"/>
        <v>0.41909999999999997</v>
      </c>
      <c r="AA71">
        <v>8.8000000000000007</v>
      </c>
      <c r="AC71">
        <f t="shared" si="18"/>
        <v>28.5</v>
      </c>
      <c r="AD71">
        <f t="shared" si="27"/>
        <v>16.5</v>
      </c>
      <c r="AE71">
        <f t="shared" si="28"/>
        <v>0.41909999999999997</v>
      </c>
      <c r="AF71">
        <v>8.8000000000000007</v>
      </c>
    </row>
    <row r="72" spans="18:32" x14ac:dyDescent="0.5">
      <c r="R72">
        <f t="shared" ref="R72:R73" si="29">R71+0.25</f>
        <v>28.75</v>
      </c>
      <c r="S72">
        <f t="shared" si="22"/>
        <v>16.75</v>
      </c>
      <c r="T72">
        <f t="shared" si="23"/>
        <v>0.73024999999999995</v>
      </c>
      <c r="U72">
        <f t="shared" si="24"/>
        <v>2.3958333333333335</v>
      </c>
      <c r="V72">
        <v>8.8000000000000007</v>
      </c>
      <c r="X72">
        <f t="shared" ref="X72:X73" si="30">X71+0.25</f>
        <v>28.75</v>
      </c>
      <c r="Y72">
        <f t="shared" si="25"/>
        <v>16.75</v>
      </c>
      <c r="Z72">
        <f t="shared" si="26"/>
        <v>0.42544999999999999</v>
      </c>
      <c r="AA72">
        <v>9</v>
      </c>
      <c r="AC72">
        <f t="shared" ref="AC72:AC73" si="31">AC71+0.25</f>
        <v>28.75</v>
      </c>
      <c r="AD72">
        <f t="shared" si="27"/>
        <v>16.75</v>
      </c>
      <c r="AE72">
        <f t="shared" si="28"/>
        <v>0.42544999999999999</v>
      </c>
      <c r="AF72">
        <v>8.8000000000000007</v>
      </c>
    </row>
    <row r="73" spans="18:32" x14ac:dyDescent="0.5">
      <c r="R73">
        <f t="shared" si="29"/>
        <v>29</v>
      </c>
      <c r="S73">
        <f t="shared" si="22"/>
        <v>17</v>
      </c>
      <c r="T73">
        <f t="shared" si="23"/>
        <v>0.73659999999999992</v>
      </c>
      <c r="U73">
        <f t="shared" si="24"/>
        <v>2.4166666666666665</v>
      </c>
      <c r="V73">
        <v>8.8000000000000007</v>
      </c>
      <c r="X73">
        <f t="shared" si="30"/>
        <v>29</v>
      </c>
      <c r="Y73">
        <f t="shared" si="25"/>
        <v>17</v>
      </c>
      <c r="Z73">
        <f t="shared" si="26"/>
        <v>0.43179999999999996</v>
      </c>
      <c r="AA73">
        <v>9</v>
      </c>
      <c r="AC73">
        <f t="shared" si="31"/>
        <v>29</v>
      </c>
      <c r="AD73">
        <f t="shared" si="27"/>
        <v>17</v>
      </c>
      <c r="AE73">
        <f t="shared" si="28"/>
        <v>0.43179999999999996</v>
      </c>
      <c r="AF73">
        <v>9</v>
      </c>
    </row>
    <row r="74" spans="18:32" x14ac:dyDescent="0.5">
      <c r="R74">
        <f>R73+0.25</f>
        <v>29.25</v>
      </c>
      <c r="S74">
        <f t="shared" si="22"/>
        <v>17.25</v>
      </c>
      <c r="T74">
        <f t="shared" si="23"/>
        <v>0.74295</v>
      </c>
      <c r="U74">
        <f t="shared" si="24"/>
        <v>2.4375000000000004</v>
      </c>
      <c r="V74">
        <v>9</v>
      </c>
      <c r="X74">
        <f>X73+0.25</f>
        <v>29.25</v>
      </c>
      <c r="Y74">
        <f t="shared" si="25"/>
        <v>17.25</v>
      </c>
      <c r="Z74">
        <f t="shared" si="26"/>
        <v>0.43814999999999998</v>
      </c>
      <c r="AA74">
        <v>9.1999999999999993</v>
      </c>
      <c r="AC74">
        <f>AC73+0.25</f>
        <v>29.25</v>
      </c>
      <c r="AD74">
        <f t="shared" si="27"/>
        <v>17.25</v>
      </c>
      <c r="AE74">
        <f t="shared" si="28"/>
        <v>0.43814999999999998</v>
      </c>
      <c r="AF74">
        <v>9</v>
      </c>
    </row>
    <row r="75" spans="18:32" x14ac:dyDescent="0.5">
      <c r="R75">
        <f t="shared" ref="R75:R94" si="32">R74+0.25</f>
        <v>29.5</v>
      </c>
      <c r="S75">
        <f t="shared" si="22"/>
        <v>17.5</v>
      </c>
      <c r="T75">
        <f t="shared" si="23"/>
        <v>0.74929999999999997</v>
      </c>
      <c r="U75">
        <f t="shared" si="24"/>
        <v>2.4583333333333335</v>
      </c>
      <c r="V75">
        <v>9.1999999999999993</v>
      </c>
      <c r="X75">
        <f t="shared" ref="X75:X94" si="33">X74+0.25</f>
        <v>29.5</v>
      </c>
      <c r="Y75">
        <f t="shared" si="25"/>
        <v>17.5</v>
      </c>
      <c r="Z75">
        <f t="shared" si="26"/>
        <v>0.44450000000000001</v>
      </c>
      <c r="AA75">
        <v>9.1999999999999993</v>
      </c>
      <c r="AC75">
        <f t="shared" ref="AC75:AC94" si="34">AC74+0.25</f>
        <v>29.5</v>
      </c>
      <c r="AD75">
        <f t="shared" si="27"/>
        <v>17.5</v>
      </c>
      <c r="AE75">
        <f t="shared" si="28"/>
        <v>0.44450000000000001</v>
      </c>
      <c r="AF75">
        <v>9.1999999999999993</v>
      </c>
    </row>
    <row r="76" spans="18:32" x14ac:dyDescent="0.5">
      <c r="R76">
        <f t="shared" si="32"/>
        <v>29.75</v>
      </c>
      <c r="S76">
        <f t="shared" si="22"/>
        <v>17.75</v>
      </c>
      <c r="T76">
        <f t="shared" si="23"/>
        <v>0.75564999999999993</v>
      </c>
      <c r="U76">
        <f t="shared" si="24"/>
        <v>2.479166666666667</v>
      </c>
      <c r="V76">
        <v>9.1999999999999993</v>
      </c>
      <c r="X76">
        <f t="shared" si="33"/>
        <v>29.75</v>
      </c>
      <c r="Y76">
        <f t="shared" si="25"/>
        <v>17.75</v>
      </c>
      <c r="Z76">
        <f t="shared" si="26"/>
        <v>0.45084999999999997</v>
      </c>
      <c r="AA76">
        <v>9.4</v>
      </c>
      <c r="AC76">
        <f t="shared" si="34"/>
        <v>29.75</v>
      </c>
      <c r="AD76">
        <f t="shared" si="27"/>
        <v>17.75</v>
      </c>
      <c r="AE76">
        <f t="shared" si="28"/>
        <v>0.45084999999999997</v>
      </c>
      <c r="AF76">
        <v>9.1999999999999993</v>
      </c>
    </row>
    <row r="77" spans="18:32" x14ac:dyDescent="0.5">
      <c r="R77">
        <f t="shared" si="32"/>
        <v>30</v>
      </c>
      <c r="S77">
        <f t="shared" si="22"/>
        <v>18</v>
      </c>
      <c r="T77">
        <f t="shared" si="23"/>
        <v>0.76200000000000001</v>
      </c>
      <c r="U77">
        <f t="shared" si="24"/>
        <v>2.5000000000000004</v>
      </c>
      <c r="V77">
        <v>9.1999999999999993</v>
      </c>
      <c r="X77">
        <f t="shared" si="33"/>
        <v>30</v>
      </c>
      <c r="Y77">
        <f t="shared" si="25"/>
        <v>18</v>
      </c>
      <c r="Z77">
        <f t="shared" si="26"/>
        <v>0.4572</v>
      </c>
      <c r="AA77">
        <v>9.4</v>
      </c>
      <c r="AC77">
        <f t="shared" si="34"/>
        <v>30</v>
      </c>
      <c r="AD77">
        <f t="shared" si="27"/>
        <v>18</v>
      </c>
      <c r="AE77">
        <f t="shared" si="28"/>
        <v>0.4572</v>
      </c>
      <c r="AF77">
        <v>9.4</v>
      </c>
    </row>
    <row r="78" spans="18:32" x14ac:dyDescent="0.5">
      <c r="R78">
        <f t="shared" si="32"/>
        <v>30.25</v>
      </c>
      <c r="S78">
        <f t="shared" si="22"/>
        <v>18.25</v>
      </c>
      <c r="T78">
        <f t="shared" si="23"/>
        <v>0.76834999999999998</v>
      </c>
      <c r="U78">
        <f t="shared" si="24"/>
        <v>2.5208333333333335</v>
      </c>
      <c r="V78">
        <v>9.4</v>
      </c>
      <c r="X78">
        <f t="shared" si="33"/>
        <v>30.25</v>
      </c>
      <c r="Y78">
        <f t="shared" si="25"/>
        <v>18.25</v>
      </c>
      <c r="Z78">
        <f t="shared" si="26"/>
        <v>0.46354999999999996</v>
      </c>
      <c r="AA78">
        <v>9.6</v>
      </c>
      <c r="AC78">
        <f t="shared" si="34"/>
        <v>30.25</v>
      </c>
      <c r="AD78">
        <f t="shared" si="27"/>
        <v>18.25</v>
      </c>
      <c r="AE78">
        <f t="shared" si="28"/>
        <v>0.46354999999999996</v>
      </c>
      <c r="AF78">
        <v>9.4</v>
      </c>
    </row>
    <row r="79" spans="18:32" x14ac:dyDescent="0.5">
      <c r="R79">
        <f t="shared" si="32"/>
        <v>30.5</v>
      </c>
      <c r="S79">
        <f t="shared" si="22"/>
        <v>18.5</v>
      </c>
      <c r="T79">
        <f t="shared" si="23"/>
        <v>0.77469999999999994</v>
      </c>
      <c r="U79">
        <f t="shared" si="24"/>
        <v>2.541666666666667</v>
      </c>
      <c r="V79">
        <v>9.6</v>
      </c>
      <c r="X79">
        <f t="shared" si="33"/>
        <v>30.5</v>
      </c>
      <c r="Y79">
        <f t="shared" si="25"/>
        <v>18.5</v>
      </c>
      <c r="Z79">
        <f t="shared" si="26"/>
        <v>0.46989999999999998</v>
      </c>
      <c r="AA79">
        <v>9.6</v>
      </c>
      <c r="AC79">
        <f t="shared" si="34"/>
        <v>30.5</v>
      </c>
      <c r="AD79">
        <f t="shared" si="27"/>
        <v>18.5</v>
      </c>
      <c r="AE79">
        <f t="shared" si="28"/>
        <v>0.46989999999999998</v>
      </c>
      <c r="AF79">
        <v>9.6</v>
      </c>
    </row>
    <row r="80" spans="18:32" x14ac:dyDescent="0.5">
      <c r="R80">
        <f t="shared" si="32"/>
        <v>30.75</v>
      </c>
      <c r="S80">
        <f t="shared" si="22"/>
        <v>18.75</v>
      </c>
      <c r="T80">
        <f t="shared" si="23"/>
        <v>0.78105000000000002</v>
      </c>
      <c r="U80">
        <f t="shared" si="24"/>
        <v>2.5625000000000004</v>
      </c>
      <c r="V80">
        <v>9.6</v>
      </c>
      <c r="X80">
        <f t="shared" si="33"/>
        <v>30.75</v>
      </c>
      <c r="Y80">
        <f t="shared" si="25"/>
        <v>18.75</v>
      </c>
      <c r="Z80">
        <f t="shared" si="26"/>
        <v>0.47625000000000001</v>
      </c>
      <c r="AA80">
        <v>9.8000000000000007</v>
      </c>
      <c r="AC80">
        <f t="shared" si="34"/>
        <v>30.75</v>
      </c>
      <c r="AD80">
        <f t="shared" si="27"/>
        <v>18.75</v>
      </c>
      <c r="AE80">
        <f t="shared" si="28"/>
        <v>0.47625000000000001</v>
      </c>
      <c r="AF80">
        <v>9.6</v>
      </c>
    </row>
    <row r="81" spans="18:32" x14ac:dyDescent="0.5">
      <c r="R81">
        <f t="shared" si="32"/>
        <v>31</v>
      </c>
      <c r="S81">
        <f t="shared" si="22"/>
        <v>19</v>
      </c>
      <c r="T81">
        <f t="shared" si="23"/>
        <v>0.78739999999999999</v>
      </c>
      <c r="U81">
        <f t="shared" si="24"/>
        <v>2.5833333333333335</v>
      </c>
      <c r="V81">
        <v>9.6</v>
      </c>
      <c r="X81">
        <f t="shared" si="33"/>
        <v>31</v>
      </c>
      <c r="Y81">
        <f t="shared" si="25"/>
        <v>19</v>
      </c>
      <c r="Z81">
        <f t="shared" si="26"/>
        <v>0.48259999999999997</v>
      </c>
      <c r="AA81">
        <v>9.8000000000000007</v>
      </c>
      <c r="AC81">
        <f t="shared" si="34"/>
        <v>31</v>
      </c>
      <c r="AD81">
        <f t="shared" si="27"/>
        <v>19</v>
      </c>
      <c r="AE81">
        <f t="shared" si="28"/>
        <v>0.48259999999999997</v>
      </c>
      <c r="AF81">
        <v>9.8000000000000007</v>
      </c>
    </row>
    <row r="82" spans="18:32" x14ac:dyDescent="0.5">
      <c r="R82">
        <f t="shared" si="32"/>
        <v>31.25</v>
      </c>
      <c r="S82">
        <f t="shared" si="22"/>
        <v>19.25</v>
      </c>
      <c r="T82">
        <f t="shared" si="23"/>
        <v>0.79374999999999996</v>
      </c>
      <c r="U82">
        <f t="shared" si="24"/>
        <v>2.604166666666667</v>
      </c>
      <c r="V82">
        <v>9.8000000000000007</v>
      </c>
      <c r="X82">
        <f t="shared" si="33"/>
        <v>31.25</v>
      </c>
      <c r="Y82">
        <f t="shared" si="25"/>
        <v>19.25</v>
      </c>
      <c r="Z82">
        <f t="shared" si="26"/>
        <v>0.48895</v>
      </c>
      <c r="AA82">
        <v>9.8000000000000007</v>
      </c>
      <c r="AC82">
        <f t="shared" si="34"/>
        <v>31.25</v>
      </c>
      <c r="AD82">
        <f t="shared" si="27"/>
        <v>19.25</v>
      </c>
      <c r="AE82">
        <f t="shared" si="28"/>
        <v>0.48895</v>
      </c>
      <c r="AF82">
        <v>9.8000000000000007</v>
      </c>
    </row>
    <row r="83" spans="18:32" x14ac:dyDescent="0.5">
      <c r="R83">
        <f t="shared" si="32"/>
        <v>31.5</v>
      </c>
      <c r="S83">
        <f t="shared" si="22"/>
        <v>19.5</v>
      </c>
      <c r="T83">
        <f t="shared" si="23"/>
        <v>0.80009999999999992</v>
      </c>
      <c r="U83">
        <f t="shared" si="24"/>
        <v>2.625</v>
      </c>
      <c r="V83">
        <v>9.8000000000000007</v>
      </c>
      <c r="X83">
        <f t="shared" si="33"/>
        <v>31.5</v>
      </c>
      <c r="Y83">
        <f t="shared" si="25"/>
        <v>19.5</v>
      </c>
      <c r="Z83">
        <f t="shared" si="26"/>
        <v>0.49529999999999996</v>
      </c>
      <c r="AA83">
        <v>10</v>
      </c>
      <c r="AC83">
        <f t="shared" si="34"/>
        <v>31.5</v>
      </c>
      <c r="AD83">
        <f t="shared" si="27"/>
        <v>19.5</v>
      </c>
      <c r="AE83">
        <f t="shared" si="28"/>
        <v>0.49529999999999996</v>
      </c>
      <c r="AF83">
        <v>10</v>
      </c>
    </row>
    <row r="84" spans="18:32" x14ac:dyDescent="0.5">
      <c r="R84">
        <f t="shared" si="32"/>
        <v>31.75</v>
      </c>
      <c r="S84">
        <f t="shared" si="22"/>
        <v>19.75</v>
      </c>
      <c r="T84">
        <f t="shared" si="23"/>
        <v>0.80645</v>
      </c>
      <c r="U84">
        <f t="shared" si="24"/>
        <v>2.6458333333333335</v>
      </c>
      <c r="V84">
        <v>10</v>
      </c>
      <c r="X84">
        <f t="shared" si="33"/>
        <v>31.75</v>
      </c>
      <c r="Y84">
        <f t="shared" si="25"/>
        <v>19.75</v>
      </c>
      <c r="Z84">
        <f t="shared" si="26"/>
        <v>0.50164999999999993</v>
      </c>
      <c r="AA84">
        <v>10</v>
      </c>
      <c r="AC84">
        <f t="shared" si="34"/>
        <v>31.75</v>
      </c>
      <c r="AD84">
        <f t="shared" si="27"/>
        <v>19.75</v>
      </c>
      <c r="AE84">
        <f t="shared" si="28"/>
        <v>0.50164999999999993</v>
      </c>
      <c r="AF84">
        <v>10</v>
      </c>
    </row>
    <row r="85" spans="18:32" x14ac:dyDescent="0.5">
      <c r="R85">
        <f t="shared" si="32"/>
        <v>32</v>
      </c>
      <c r="S85">
        <f t="shared" si="22"/>
        <v>20</v>
      </c>
      <c r="T85">
        <f t="shared" si="23"/>
        <v>0.81279999999999997</v>
      </c>
      <c r="U85">
        <f t="shared" si="24"/>
        <v>2.666666666666667</v>
      </c>
      <c r="V85">
        <v>10</v>
      </c>
      <c r="X85">
        <f t="shared" si="33"/>
        <v>32</v>
      </c>
      <c r="Y85">
        <f t="shared" si="25"/>
        <v>20</v>
      </c>
      <c r="Z85">
        <f t="shared" si="26"/>
        <v>0.50800000000000001</v>
      </c>
      <c r="AA85">
        <v>10.199999999999999</v>
      </c>
      <c r="AC85">
        <f t="shared" si="34"/>
        <v>32</v>
      </c>
      <c r="AD85">
        <f t="shared" si="27"/>
        <v>20</v>
      </c>
      <c r="AE85">
        <f t="shared" si="28"/>
        <v>0.50800000000000001</v>
      </c>
      <c r="AF85">
        <v>10.199999999999999</v>
      </c>
    </row>
    <row r="86" spans="18:32" x14ac:dyDescent="0.5">
      <c r="R86">
        <f t="shared" si="32"/>
        <v>32.25</v>
      </c>
      <c r="S86">
        <f t="shared" si="22"/>
        <v>20.25</v>
      </c>
      <c r="T86">
        <f t="shared" si="23"/>
        <v>0.81914999999999993</v>
      </c>
      <c r="U86">
        <f t="shared" si="24"/>
        <v>2.6875</v>
      </c>
      <c r="V86">
        <v>10.199999999999999</v>
      </c>
      <c r="X86">
        <f t="shared" si="33"/>
        <v>32.25</v>
      </c>
      <c r="Y86">
        <f t="shared" si="25"/>
        <v>20.25</v>
      </c>
      <c r="Z86">
        <f t="shared" si="26"/>
        <v>0.51434999999999997</v>
      </c>
      <c r="AA86">
        <v>10.199999999999999</v>
      </c>
      <c r="AC86">
        <f t="shared" si="34"/>
        <v>32.25</v>
      </c>
      <c r="AD86">
        <f t="shared" si="27"/>
        <v>20.25</v>
      </c>
      <c r="AE86">
        <f t="shared" si="28"/>
        <v>0.51434999999999997</v>
      </c>
      <c r="AF86">
        <v>10.199999999999999</v>
      </c>
    </row>
    <row r="87" spans="18:32" x14ac:dyDescent="0.5">
      <c r="R87">
        <f t="shared" si="32"/>
        <v>32.5</v>
      </c>
      <c r="S87">
        <f t="shared" si="22"/>
        <v>20.5</v>
      </c>
      <c r="T87">
        <f t="shared" si="23"/>
        <v>0.82550000000000001</v>
      </c>
      <c r="U87">
        <f t="shared" si="24"/>
        <v>2.7083333333333339</v>
      </c>
      <c r="V87">
        <v>10.199999999999999</v>
      </c>
      <c r="X87">
        <f t="shared" si="33"/>
        <v>32.5</v>
      </c>
      <c r="Y87">
        <f t="shared" si="25"/>
        <v>20.5</v>
      </c>
      <c r="Z87">
        <f t="shared" si="26"/>
        <v>0.52069999999999994</v>
      </c>
      <c r="AA87">
        <v>10.4</v>
      </c>
      <c r="AC87">
        <f t="shared" si="34"/>
        <v>32.5</v>
      </c>
      <c r="AD87">
        <f t="shared" si="27"/>
        <v>20.5</v>
      </c>
      <c r="AE87">
        <f t="shared" si="28"/>
        <v>0.52069999999999994</v>
      </c>
      <c r="AF87">
        <v>10.4</v>
      </c>
    </row>
    <row r="88" spans="18:32" x14ac:dyDescent="0.5">
      <c r="R88">
        <f t="shared" si="32"/>
        <v>32.75</v>
      </c>
      <c r="S88">
        <f t="shared" si="22"/>
        <v>20.75</v>
      </c>
      <c r="T88">
        <f t="shared" si="23"/>
        <v>0.83184999999999998</v>
      </c>
      <c r="U88">
        <f t="shared" si="24"/>
        <v>2.729166666666667</v>
      </c>
      <c r="V88">
        <v>10.4</v>
      </c>
      <c r="X88">
        <f t="shared" si="33"/>
        <v>32.75</v>
      </c>
      <c r="Y88">
        <f t="shared" si="25"/>
        <v>20.75</v>
      </c>
      <c r="Z88">
        <f t="shared" si="26"/>
        <v>0.52705000000000002</v>
      </c>
      <c r="AA88">
        <v>10.6</v>
      </c>
      <c r="AC88">
        <f t="shared" si="34"/>
        <v>32.75</v>
      </c>
      <c r="AD88">
        <f t="shared" si="27"/>
        <v>20.75</v>
      </c>
      <c r="AE88">
        <f t="shared" si="28"/>
        <v>0.52705000000000002</v>
      </c>
      <c r="AF88">
        <v>10.4</v>
      </c>
    </row>
    <row r="89" spans="18:32" x14ac:dyDescent="0.5">
      <c r="R89">
        <f t="shared" si="32"/>
        <v>33</v>
      </c>
      <c r="S89">
        <f t="shared" si="22"/>
        <v>21</v>
      </c>
      <c r="T89">
        <f t="shared" si="23"/>
        <v>0.83819999999999995</v>
      </c>
      <c r="U89">
        <f t="shared" si="24"/>
        <v>2.75</v>
      </c>
      <c r="V89">
        <v>10.4</v>
      </c>
      <c r="X89">
        <f t="shared" si="33"/>
        <v>33</v>
      </c>
      <c r="Y89">
        <f t="shared" si="25"/>
        <v>21</v>
      </c>
      <c r="Z89">
        <f t="shared" si="26"/>
        <v>0.53339999999999999</v>
      </c>
      <c r="AA89">
        <v>10.6</v>
      </c>
      <c r="AC89">
        <f t="shared" si="34"/>
        <v>33</v>
      </c>
      <c r="AD89">
        <f t="shared" si="27"/>
        <v>21</v>
      </c>
      <c r="AE89">
        <f t="shared" si="28"/>
        <v>0.53339999999999999</v>
      </c>
      <c r="AF89">
        <v>10.4</v>
      </c>
    </row>
    <row r="90" spans="18:32" x14ac:dyDescent="0.5">
      <c r="R90">
        <f t="shared" si="32"/>
        <v>33.25</v>
      </c>
      <c r="S90">
        <f t="shared" si="22"/>
        <v>21.25</v>
      </c>
      <c r="T90">
        <f t="shared" si="23"/>
        <v>0.84454999999999991</v>
      </c>
      <c r="U90">
        <f t="shared" si="24"/>
        <v>2.7708333333333335</v>
      </c>
      <c r="V90">
        <v>10.6</v>
      </c>
      <c r="X90">
        <f t="shared" si="33"/>
        <v>33.25</v>
      </c>
      <c r="Y90">
        <f t="shared" si="25"/>
        <v>21.25</v>
      </c>
      <c r="Z90">
        <f t="shared" si="26"/>
        <v>0.53974999999999995</v>
      </c>
      <c r="AA90">
        <v>10.8</v>
      </c>
      <c r="AC90">
        <f t="shared" si="34"/>
        <v>33.25</v>
      </c>
      <c r="AD90">
        <f t="shared" si="27"/>
        <v>21.25</v>
      </c>
      <c r="AE90">
        <f t="shared" si="28"/>
        <v>0.53974999999999995</v>
      </c>
      <c r="AF90">
        <v>10.6</v>
      </c>
    </row>
    <row r="91" spans="18:32" x14ac:dyDescent="0.5">
      <c r="R91">
        <f t="shared" si="32"/>
        <v>33.5</v>
      </c>
      <c r="S91">
        <f t="shared" si="22"/>
        <v>21.5</v>
      </c>
      <c r="T91">
        <f t="shared" si="23"/>
        <v>0.85089999999999999</v>
      </c>
      <c r="U91">
        <f t="shared" si="24"/>
        <v>2.791666666666667</v>
      </c>
      <c r="V91">
        <v>10.6</v>
      </c>
      <c r="X91">
        <f t="shared" si="33"/>
        <v>33.5</v>
      </c>
      <c r="Y91">
        <f t="shared" si="25"/>
        <v>21.5</v>
      </c>
      <c r="Z91">
        <f t="shared" si="26"/>
        <v>0.54610000000000003</v>
      </c>
      <c r="AA91">
        <v>10.8</v>
      </c>
      <c r="AC91">
        <f t="shared" si="34"/>
        <v>33.5</v>
      </c>
      <c r="AD91">
        <f t="shared" si="27"/>
        <v>21.5</v>
      </c>
      <c r="AE91">
        <f t="shared" si="28"/>
        <v>0.54610000000000003</v>
      </c>
      <c r="AF91">
        <v>10.8</v>
      </c>
    </row>
    <row r="92" spans="18:32" x14ac:dyDescent="0.5">
      <c r="R92">
        <f t="shared" si="32"/>
        <v>33.75</v>
      </c>
      <c r="S92">
        <f t="shared" si="22"/>
        <v>21.75</v>
      </c>
      <c r="T92">
        <f t="shared" si="23"/>
        <v>0.85724999999999996</v>
      </c>
      <c r="U92">
        <f t="shared" si="24"/>
        <v>2.8125000000000004</v>
      </c>
      <c r="V92">
        <v>10.8</v>
      </c>
      <c r="X92">
        <f t="shared" si="33"/>
        <v>33.75</v>
      </c>
      <c r="Y92">
        <f t="shared" si="25"/>
        <v>21.75</v>
      </c>
      <c r="Z92">
        <f t="shared" si="26"/>
        <v>0.55245</v>
      </c>
      <c r="AA92">
        <v>11</v>
      </c>
      <c r="AC92">
        <f t="shared" si="34"/>
        <v>33.75</v>
      </c>
      <c r="AD92">
        <f t="shared" si="27"/>
        <v>21.75</v>
      </c>
      <c r="AE92">
        <f t="shared" si="28"/>
        <v>0.55245</v>
      </c>
      <c r="AF92">
        <v>10.8</v>
      </c>
    </row>
    <row r="93" spans="18:32" x14ac:dyDescent="0.5">
      <c r="R93">
        <f t="shared" si="32"/>
        <v>34</v>
      </c>
      <c r="S93">
        <f t="shared" si="22"/>
        <v>22</v>
      </c>
      <c r="T93">
        <f t="shared" si="23"/>
        <v>0.86359999999999992</v>
      </c>
      <c r="U93">
        <f t="shared" si="24"/>
        <v>2.8333333333333335</v>
      </c>
      <c r="V93">
        <v>10.8</v>
      </c>
      <c r="X93">
        <f t="shared" si="33"/>
        <v>34</v>
      </c>
      <c r="Y93">
        <f t="shared" si="25"/>
        <v>22</v>
      </c>
      <c r="Z93">
        <f t="shared" si="26"/>
        <v>0.55879999999999996</v>
      </c>
      <c r="AA93">
        <v>11</v>
      </c>
      <c r="AC93">
        <f t="shared" si="34"/>
        <v>34</v>
      </c>
      <c r="AD93">
        <f t="shared" si="27"/>
        <v>22</v>
      </c>
      <c r="AE93">
        <f t="shared" si="28"/>
        <v>0.55879999999999996</v>
      </c>
      <c r="AF93">
        <v>11</v>
      </c>
    </row>
    <row r="94" spans="18:32" x14ac:dyDescent="0.5">
      <c r="R94">
        <f t="shared" si="32"/>
        <v>34.25</v>
      </c>
      <c r="S94">
        <f t="shared" si="22"/>
        <v>22.25</v>
      </c>
      <c r="T94">
        <f t="shared" si="23"/>
        <v>0.86995</v>
      </c>
      <c r="U94">
        <f t="shared" si="24"/>
        <v>2.854166666666667</v>
      </c>
      <c r="V94">
        <v>11</v>
      </c>
      <c r="X94">
        <f t="shared" si="33"/>
        <v>34.25</v>
      </c>
      <c r="Y94">
        <f t="shared" si="25"/>
        <v>22.25</v>
      </c>
      <c r="Z94">
        <f t="shared" si="26"/>
        <v>0.56514999999999993</v>
      </c>
      <c r="AA94">
        <v>11.2</v>
      </c>
      <c r="AC94">
        <f t="shared" si="34"/>
        <v>34.25</v>
      </c>
      <c r="AD94">
        <f t="shared" si="27"/>
        <v>22.25</v>
      </c>
      <c r="AE94">
        <f t="shared" si="28"/>
        <v>0.56514999999999993</v>
      </c>
      <c r="AF94">
        <v>11</v>
      </c>
    </row>
    <row r="95" spans="18:32" x14ac:dyDescent="0.5">
      <c r="R95">
        <f>R94+0.25</f>
        <v>34.5</v>
      </c>
      <c r="S95">
        <f t="shared" si="22"/>
        <v>22.5</v>
      </c>
      <c r="T95">
        <f t="shared" si="23"/>
        <v>0.87629999999999997</v>
      </c>
      <c r="U95">
        <f t="shared" si="24"/>
        <v>2.8750000000000004</v>
      </c>
      <c r="V95">
        <v>11</v>
      </c>
      <c r="X95">
        <f>X94+0.25</f>
        <v>34.5</v>
      </c>
      <c r="Y95">
        <f t="shared" si="25"/>
        <v>22.5</v>
      </c>
      <c r="Z95">
        <f t="shared" si="26"/>
        <v>0.57150000000000001</v>
      </c>
      <c r="AA95">
        <v>11.2</v>
      </c>
      <c r="AC95">
        <f>AC94+0.25</f>
        <v>34.5</v>
      </c>
      <c r="AD95">
        <f t="shared" si="27"/>
        <v>22.5</v>
      </c>
      <c r="AE95">
        <f t="shared" si="28"/>
        <v>0.57150000000000001</v>
      </c>
      <c r="AF95">
        <v>11.2</v>
      </c>
    </row>
    <row r="96" spans="18:32" x14ac:dyDescent="0.5">
      <c r="R96">
        <f t="shared" ref="R96:R101" si="35">R95+0.25</f>
        <v>34.75</v>
      </c>
      <c r="S96">
        <f t="shared" si="22"/>
        <v>22.75</v>
      </c>
      <c r="T96">
        <f t="shared" si="23"/>
        <v>0.88264999999999993</v>
      </c>
      <c r="U96">
        <f t="shared" si="24"/>
        <v>2.8958333333333335</v>
      </c>
      <c r="V96">
        <v>11</v>
      </c>
      <c r="X96">
        <f t="shared" ref="X96:X101" si="36">X95+0.25</f>
        <v>34.75</v>
      </c>
      <c r="Y96">
        <f t="shared" si="25"/>
        <v>22.75</v>
      </c>
      <c r="Z96">
        <f t="shared" si="26"/>
        <v>0.57784999999999997</v>
      </c>
      <c r="AA96">
        <v>11.4</v>
      </c>
      <c r="AC96">
        <f t="shared" ref="AC96:AC101" si="37">AC95+0.25</f>
        <v>34.75</v>
      </c>
      <c r="AD96">
        <f t="shared" si="27"/>
        <v>22.75</v>
      </c>
      <c r="AE96">
        <f t="shared" si="28"/>
        <v>0.57784999999999997</v>
      </c>
      <c r="AF96">
        <v>11.2</v>
      </c>
    </row>
    <row r="97" spans="18:32" x14ac:dyDescent="0.5">
      <c r="R97">
        <f t="shared" si="35"/>
        <v>35</v>
      </c>
      <c r="S97">
        <f t="shared" si="22"/>
        <v>23</v>
      </c>
      <c r="T97">
        <f t="shared" si="23"/>
        <v>0.88900000000000001</v>
      </c>
      <c r="U97">
        <f t="shared" si="24"/>
        <v>2.916666666666667</v>
      </c>
      <c r="V97">
        <v>11.2</v>
      </c>
      <c r="X97">
        <f t="shared" si="36"/>
        <v>35</v>
      </c>
      <c r="Y97">
        <f t="shared" si="25"/>
        <v>23</v>
      </c>
      <c r="Z97">
        <f t="shared" si="26"/>
        <v>0.58419999999999994</v>
      </c>
      <c r="AA97">
        <v>11.4</v>
      </c>
      <c r="AC97">
        <f t="shared" si="37"/>
        <v>35</v>
      </c>
      <c r="AD97">
        <f t="shared" si="27"/>
        <v>23</v>
      </c>
      <c r="AE97">
        <f t="shared" si="28"/>
        <v>0.58419999999999994</v>
      </c>
      <c r="AF97">
        <v>11.4</v>
      </c>
    </row>
    <row r="98" spans="18:32" x14ac:dyDescent="0.5">
      <c r="R98">
        <f t="shared" si="35"/>
        <v>35.25</v>
      </c>
      <c r="S98">
        <f t="shared" si="22"/>
        <v>23.25</v>
      </c>
      <c r="T98">
        <f t="shared" si="23"/>
        <v>0.89534999999999998</v>
      </c>
      <c r="U98">
        <f t="shared" si="24"/>
        <v>2.9375000000000004</v>
      </c>
      <c r="V98">
        <v>11.4</v>
      </c>
      <c r="X98">
        <f t="shared" si="36"/>
        <v>35.25</v>
      </c>
      <c r="Y98">
        <f t="shared" si="25"/>
        <v>23.25</v>
      </c>
      <c r="Z98">
        <f t="shared" si="26"/>
        <v>0.59055000000000002</v>
      </c>
      <c r="AA98">
        <v>11.6</v>
      </c>
      <c r="AC98">
        <f t="shared" si="37"/>
        <v>35.25</v>
      </c>
      <c r="AD98">
        <f t="shared" si="27"/>
        <v>23.25</v>
      </c>
      <c r="AE98">
        <f t="shared" si="28"/>
        <v>0.59055000000000002</v>
      </c>
      <c r="AF98">
        <v>11.6</v>
      </c>
    </row>
    <row r="99" spans="18:32" x14ac:dyDescent="0.5">
      <c r="R99">
        <f t="shared" si="35"/>
        <v>35.5</v>
      </c>
      <c r="S99">
        <f t="shared" si="22"/>
        <v>23.5</v>
      </c>
      <c r="T99">
        <f t="shared" si="23"/>
        <v>0.90169999999999995</v>
      </c>
      <c r="U99">
        <f t="shared" si="24"/>
        <v>2.9583333333333335</v>
      </c>
      <c r="V99">
        <v>11.4</v>
      </c>
      <c r="X99">
        <f t="shared" si="36"/>
        <v>35.5</v>
      </c>
      <c r="Y99">
        <f t="shared" si="25"/>
        <v>23.5</v>
      </c>
      <c r="Z99">
        <f t="shared" si="26"/>
        <v>0.59689999999999999</v>
      </c>
      <c r="AA99">
        <v>11.8</v>
      </c>
      <c r="AC99">
        <f t="shared" si="37"/>
        <v>35.5</v>
      </c>
      <c r="AD99">
        <f t="shared" si="27"/>
        <v>23.5</v>
      </c>
      <c r="AE99">
        <f t="shared" si="28"/>
        <v>0.59689999999999999</v>
      </c>
      <c r="AF99">
        <v>11.6</v>
      </c>
    </row>
    <row r="100" spans="18:32" x14ac:dyDescent="0.5">
      <c r="R100">
        <f t="shared" si="35"/>
        <v>35.75</v>
      </c>
      <c r="S100">
        <f t="shared" si="22"/>
        <v>23.75</v>
      </c>
      <c r="T100">
        <f t="shared" si="23"/>
        <v>0.90804999999999991</v>
      </c>
      <c r="U100">
        <f t="shared" si="24"/>
        <v>2.979166666666667</v>
      </c>
      <c r="V100">
        <v>11.4</v>
      </c>
      <c r="X100">
        <f t="shared" si="36"/>
        <v>35.75</v>
      </c>
      <c r="Y100">
        <f t="shared" si="25"/>
        <v>23.75</v>
      </c>
      <c r="Z100">
        <f t="shared" si="26"/>
        <v>0.60324999999999995</v>
      </c>
      <c r="AA100">
        <v>11.8</v>
      </c>
      <c r="AC100">
        <f t="shared" si="37"/>
        <v>35.75</v>
      </c>
      <c r="AD100">
        <f t="shared" si="27"/>
        <v>23.75</v>
      </c>
      <c r="AE100">
        <f t="shared" si="28"/>
        <v>0.60324999999999995</v>
      </c>
      <c r="AF100">
        <v>11.6</v>
      </c>
    </row>
    <row r="101" spans="18:32" x14ac:dyDescent="0.5">
      <c r="R101">
        <f t="shared" si="35"/>
        <v>36</v>
      </c>
      <c r="S101">
        <f t="shared" si="22"/>
        <v>24</v>
      </c>
      <c r="T101">
        <f>R101*0.0254</f>
        <v>0.91439999999999999</v>
      </c>
      <c r="U101">
        <f t="shared" si="24"/>
        <v>3.0000000000000004</v>
      </c>
      <c r="V101">
        <v>11.4</v>
      </c>
      <c r="X101">
        <f t="shared" si="36"/>
        <v>36</v>
      </c>
      <c r="Y101">
        <f t="shared" si="25"/>
        <v>24</v>
      </c>
      <c r="Z101">
        <f t="shared" si="26"/>
        <v>0.60959999999999992</v>
      </c>
      <c r="AA101">
        <v>12</v>
      </c>
      <c r="AC101">
        <f t="shared" si="37"/>
        <v>36</v>
      </c>
      <c r="AD101">
        <f t="shared" si="27"/>
        <v>24</v>
      </c>
      <c r="AE101">
        <f t="shared" si="28"/>
        <v>0.60959999999999992</v>
      </c>
      <c r="AF101">
        <v>11.8</v>
      </c>
    </row>
  </sheetData>
  <mergeCells count="2">
    <mergeCell ref="A1:C1"/>
    <mergeCell ref="R1:V1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FBCB-8147-304E-99CB-8F5B9D29213A}">
  <dimension ref="A1:AD59"/>
  <sheetViews>
    <sheetView zoomScale="50" workbookViewId="0">
      <selection activeCell="H40" sqref="H40"/>
    </sheetView>
  </sheetViews>
  <sheetFormatPr defaultColWidth="11" defaultRowHeight="15.75" x14ac:dyDescent="0.5"/>
  <sheetData>
    <row r="1" spans="1:30" x14ac:dyDescent="0.5">
      <c r="A1" s="2" t="s">
        <v>6</v>
      </c>
      <c r="B1" s="2"/>
      <c r="C1" s="1"/>
      <c r="D1" s="1"/>
      <c r="Q1" s="2" t="s">
        <v>7</v>
      </c>
      <c r="R1" s="2"/>
    </row>
    <row r="2" spans="1:30" x14ac:dyDescent="0.5">
      <c r="A2" s="1"/>
      <c r="B2" s="1"/>
      <c r="C2" s="1"/>
      <c r="D2" s="1"/>
    </row>
    <row r="3" spans="1:30" x14ac:dyDescent="0.5">
      <c r="A3" t="s">
        <v>2</v>
      </c>
      <c r="B3" t="s">
        <v>3</v>
      </c>
      <c r="C3" t="s">
        <v>4</v>
      </c>
      <c r="D3" t="s">
        <v>5</v>
      </c>
      <c r="F3" t="s">
        <v>2</v>
      </c>
      <c r="G3" t="s">
        <v>3</v>
      </c>
      <c r="H3" t="s">
        <v>4</v>
      </c>
      <c r="I3" t="s">
        <v>5</v>
      </c>
      <c r="K3" t="s">
        <v>2</v>
      </c>
      <c r="L3" t="s">
        <v>3</v>
      </c>
      <c r="M3" t="s">
        <v>4</v>
      </c>
      <c r="N3" t="s">
        <v>5</v>
      </c>
      <c r="Q3" t="s">
        <v>2</v>
      </c>
      <c r="R3" t="s">
        <v>8</v>
      </c>
      <c r="S3" t="s">
        <v>4</v>
      </c>
      <c r="T3" t="s">
        <v>5</v>
      </c>
      <c r="V3" t="s">
        <v>2</v>
      </c>
      <c r="W3" t="s">
        <v>8</v>
      </c>
      <c r="X3" t="s">
        <v>4</v>
      </c>
      <c r="Y3" t="s">
        <v>5</v>
      </c>
      <c r="AA3" t="s">
        <v>2</v>
      </c>
      <c r="AB3" t="s">
        <v>8</v>
      </c>
      <c r="AC3" t="s">
        <v>4</v>
      </c>
      <c r="AD3" t="s">
        <v>5</v>
      </c>
    </row>
    <row r="4" spans="1:30" x14ac:dyDescent="0.5">
      <c r="A4">
        <v>6</v>
      </c>
      <c r="B4">
        <f>A4-6</f>
        <v>0</v>
      </c>
      <c r="C4">
        <f>B4*0.0254</f>
        <v>0</v>
      </c>
      <c r="D4">
        <v>0</v>
      </c>
      <c r="F4">
        <v>6</v>
      </c>
      <c r="G4">
        <f>F4-6</f>
        <v>0</v>
      </c>
      <c r="H4">
        <f>G4*0.0254</f>
        <v>0</v>
      </c>
      <c r="I4">
        <v>0</v>
      </c>
      <c r="K4">
        <v>6</v>
      </c>
      <c r="L4">
        <f>K4-6</f>
        <v>0</v>
      </c>
      <c r="M4">
        <f>L4*0.0254</f>
        <v>0</v>
      </c>
      <c r="N4">
        <v>0</v>
      </c>
      <c r="Q4">
        <v>12</v>
      </c>
      <c r="R4">
        <f>Q4-12</f>
        <v>0</v>
      </c>
      <c r="S4">
        <f>R4*0.0254</f>
        <v>0</v>
      </c>
      <c r="T4">
        <v>0</v>
      </c>
      <c r="V4">
        <v>12</v>
      </c>
      <c r="W4">
        <f>V4-12</f>
        <v>0</v>
      </c>
      <c r="X4">
        <f>W4*0.0254</f>
        <v>0</v>
      </c>
      <c r="Y4">
        <v>0</v>
      </c>
      <c r="AA4">
        <v>12</v>
      </c>
      <c r="AB4">
        <f>AA4-12</f>
        <v>0</v>
      </c>
      <c r="AC4">
        <f>AB4*0.0254</f>
        <v>0</v>
      </c>
      <c r="AD4">
        <v>0</v>
      </c>
    </row>
    <row r="5" spans="1:30" x14ac:dyDescent="0.5">
      <c r="A5">
        <f>A4+0.25</f>
        <v>6.25</v>
      </c>
      <c r="B5">
        <f t="shared" ref="B5:B52" si="0">A5-6</f>
        <v>0.25</v>
      </c>
      <c r="C5">
        <f t="shared" ref="C5:C52" si="1">B5*0.0254</f>
        <v>6.3499999999999997E-3</v>
      </c>
      <c r="D5">
        <v>1.8</v>
      </c>
      <c r="F5">
        <f>F4+0.25</f>
        <v>6.25</v>
      </c>
      <c r="G5">
        <f t="shared" ref="G5:G52" si="2">F5-6</f>
        <v>0.25</v>
      </c>
      <c r="H5">
        <f t="shared" ref="H5:H52" si="3">G5*0.0254</f>
        <v>6.3499999999999997E-3</v>
      </c>
      <c r="I5">
        <v>1</v>
      </c>
      <c r="K5">
        <f>K4+0.25</f>
        <v>6.25</v>
      </c>
      <c r="L5">
        <f t="shared" ref="L5:L52" si="4">K5-6</f>
        <v>0.25</v>
      </c>
      <c r="M5">
        <f t="shared" ref="M5:M52" si="5">L5*0.0254</f>
        <v>6.3499999999999997E-3</v>
      </c>
      <c r="N5">
        <v>2</v>
      </c>
      <c r="Q5">
        <f>Q4+0.5</f>
        <v>12.5</v>
      </c>
      <c r="R5">
        <f t="shared" ref="R5:R52" si="6">Q5-12</f>
        <v>0.5</v>
      </c>
      <c r="S5">
        <f t="shared" ref="S5:S52" si="7">R5*0.0254</f>
        <v>1.2699999999999999E-2</v>
      </c>
      <c r="T5">
        <v>1.8</v>
      </c>
      <c r="V5">
        <f>V4+0.5</f>
        <v>12.5</v>
      </c>
      <c r="W5">
        <f t="shared" ref="W5:W52" si="8">V5-12</f>
        <v>0.5</v>
      </c>
      <c r="X5">
        <f t="shared" ref="X5:X52" si="9">W5*0.0254</f>
        <v>1.2699999999999999E-2</v>
      </c>
      <c r="Y5">
        <v>2.2000000000000002</v>
      </c>
      <c r="AA5">
        <f>AA4+0.5</f>
        <v>12.5</v>
      </c>
      <c r="AB5">
        <f t="shared" ref="AB5:AB52" si="10">AA5-12</f>
        <v>0.5</v>
      </c>
      <c r="AC5">
        <f t="shared" ref="AC5:AC52" si="11">AB5*0.0254</f>
        <v>1.2699999999999999E-2</v>
      </c>
      <c r="AD5">
        <v>2.6</v>
      </c>
    </row>
    <row r="6" spans="1:30" x14ac:dyDescent="0.5">
      <c r="A6">
        <f t="shared" ref="A6:A45" si="12">A5+0.25</f>
        <v>6.5</v>
      </c>
      <c r="B6">
        <f t="shared" si="0"/>
        <v>0.5</v>
      </c>
      <c r="C6">
        <f t="shared" si="1"/>
        <v>1.2699999999999999E-2</v>
      </c>
      <c r="D6">
        <v>3</v>
      </c>
      <c r="F6">
        <f t="shared" ref="F6:F45" si="13">F5+0.25</f>
        <v>6.5</v>
      </c>
      <c r="G6">
        <f t="shared" si="2"/>
        <v>0.5</v>
      </c>
      <c r="H6">
        <f t="shared" si="3"/>
        <v>1.2699999999999999E-2</v>
      </c>
      <c r="I6">
        <v>2.8</v>
      </c>
      <c r="K6">
        <f t="shared" ref="K6:K45" si="14">K5+0.25</f>
        <v>6.5</v>
      </c>
      <c r="L6">
        <f t="shared" si="4"/>
        <v>0.5</v>
      </c>
      <c r="M6">
        <f t="shared" si="5"/>
        <v>1.2699999999999999E-2</v>
      </c>
      <c r="N6">
        <v>3.4</v>
      </c>
      <c r="Q6">
        <f t="shared" ref="Q6:Q52" si="15">Q5+0.5</f>
        <v>13</v>
      </c>
      <c r="R6">
        <f t="shared" si="6"/>
        <v>1</v>
      </c>
      <c r="S6">
        <f t="shared" si="7"/>
        <v>2.5399999999999999E-2</v>
      </c>
      <c r="T6">
        <v>4</v>
      </c>
      <c r="V6">
        <f t="shared" ref="V6:V52" si="16">V5+0.5</f>
        <v>13</v>
      </c>
      <c r="W6">
        <f t="shared" si="8"/>
        <v>1</v>
      </c>
      <c r="X6">
        <f t="shared" si="9"/>
        <v>2.5399999999999999E-2</v>
      </c>
      <c r="Y6">
        <v>3.6</v>
      </c>
      <c r="AA6">
        <f t="shared" ref="AA6:AA52" si="17">AA5+0.5</f>
        <v>13</v>
      </c>
      <c r="AB6">
        <f t="shared" si="10"/>
        <v>1</v>
      </c>
      <c r="AC6">
        <f t="shared" si="11"/>
        <v>2.5399999999999999E-2</v>
      </c>
      <c r="AD6">
        <v>3.8</v>
      </c>
    </row>
    <row r="7" spans="1:30" x14ac:dyDescent="0.5">
      <c r="A7">
        <f t="shared" si="12"/>
        <v>6.75</v>
      </c>
      <c r="B7">
        <f t="shared" si="0"/>
        <v>0.75</v>
      </c>
      <c r="C7">
        <f t="shared" si="1"/>
        <v>1.9049999999999997E-2</v>
      </c>
      <c r="D7">
        <v>4.2</v>
      </c>
      <c r="F7">
        <f t="shared" si="13"/>
        <v>6.75</v>
      </c>
      <c r="G7">
        <f t="shared" si="2"/>
        <v>0.75</v>
      </c>
      <c r="H7">
        <f t="shared" si="3"/>
        <v>1.9049999999999997E-2</v>
      </c>
      <c r="I7">
        <v>4.2</v>
      </c>
      <c r="K7">
        <f t="shared" si="14"/>
        <v>6.75</v>
      </c>
      <c r="L7">
        <f t="shared" si="4"/>
        <v>0.75</v>
      </c>
      <c r="M7">
        <f t="shared" si="5"/>
        <v>1.9049999999999997E-2</v>
      </c>
      <c r="N7">
        <v>4.4000000000000004</v>
      </c>
      <c r="Q7">
        <f t="shared" si="15"/>
        <v>13.5</v>
      </c>
      <c r="R7">
        <f t="shared" si="6"/>
        <v>1.5</v>
      </c>
      <c r="S7">
        <f t="shared" si="7"/>
        <v>3.8099999999999995E-2</v>
      </c>
      <c r="T7">
        <v>5.4</v>
      </c>
      <c r="V7">
        <f t="shared" si="16"/>
        <v>13.5</v>
      </c>
      <c r="W7">
        <f t="shared" si="8"/>
        <v>1.5</v>
      </c>
      <c r="X7">
        <f t="shared" si="9"/>
        <v>3.8099999999999995E-2</v>
      </c>
      <c r="Y7">
        <v>5</v>
      </c>
      <c r="AA7">
        <f t="shared" si="17"/>
        <v>13.5</v>
      </c>
      <c r="AB7">
        <f t="shared" si="10"/>
        <v>1.5</v>
      </c>
      <c r="AC7">
        <f t="shared" si="11"/>
        <v>3.8099999999999995E-2</v>
      </c>
      <c r="AD7">
        <v>5.2</v>
      </c>
    </row>
    <row r="8" spans="1:30" x14ac:dyDescent="0.5">
      <c r="A8">
        <f t="shared" si="12"/>
        <v>7</v>
      </c>
      <c r="B8">
        <f t="shared" si="0"/>
        <v>1</v>
      </c>
      <c r="C8">
        <f t="shared" si="1"/>
        <v>2.5399999999999999E-2</v>
      </c>
      <c r="D8">
        <v>5.2</v>
      </c>
      <c r="F8">
        <f t="shared" si="13"/>
        <v>7</v>
      </c>
      <c r="G8">
        <f t="shared" si="2"/>
        <v>1</v>
      </c>
      <c r="H8">
        <f t="shared" si="3"/>
        <v>2.5399999999999999E-2</v>
      </c>
      <c r="I8">
        <v>5.2</v>
      </c>
      <c r="K8">
        <f t="shared" si="14"/>
        <v>7</v>
      </c>
      <c r="L8">
        <f t="shared" si="4"/>
        <v>1</v>
      </c>
      <c r="M8">
        <f t="shared" si="5"/>
        <v>2.5399999999999999E-2</v>
      </c>
      <c r="N8">
        <v>6</v>
      </c>
      <c r="Q8">
        <f t="shared" si="15"/>
        <v>14</v>
      </c>
      <c r="R8">
        <f t="shared" si="6"/>
        <v>2</v>
      </c>
      <c r="S8">
        <f t="shared" si="7"/>
        <v>5.0799999999999998E-2</v>
      </c>
      <c r="T8">
        <v>6.8</v>
      </c>
      <c r="V8">
        <f t="shared" si="16"/>
        <v>14</v>
      </c>
      <c r="W8">
        <f t="shared" si="8"/>
        <v>2</v>
      </c>
      <c r="X8">
        <f t="shared" si="9"/>
        <v>5.0799999999999998E-2</v>
      </c>
      <c r="Y8">
        <v>6</v>
      </c>
      <c r="AA8">
        <f t="shared" si="17"/>
        <v>14</v>
      </c>
      <c r="AB8">
        <f t="shared" si="10"/>
        <v>2</v>
      </c>
      <c r="AC8">
        <f t="shared" si="11"/>
        <v>5.0799999999999998E-2</v>
      </c>
      <c r="AD8">
        <v>6.2</v>
      </c>
    </row>
    <row r="9" spans="1:30" x14ac:dyDescent="0.5">
      <c r="A9">
        <f t="shared" si="12"/>
        <v>7.25</v>
      </c>
      <c r="B9">
        <f t="shared" si="0"/>
        <v>1.25</v>
      </c>
      <c r="C9">
        <f t="shared" si="1"/>
        <v>3.175E-2</v>
      </c>
      <c r="D9">
        <v>6.6</v>
      </c>
      <c r="F9">
        <f t="shared" si="13"/>
        <v>7.25</v>
      </c>
      <c r="G9">
        <f t="shared" si="2"/>
        <v>1.25</v>
      </c>
      <c r="H9">
        <f t="shared" si="3"/>
        <v>3.175E-2</v>
      </c>
      <c r="I9">
        <v>6.6</v>
      </c>
      <c r="K9">
        <f t="shared" si="14"/>
        <v>7.25</v>
      </c>
      <c r="L9">
        <f t="shared" si="4"/>
        <v>1.25</v>
      </c>
      <c r="M9">
        <f t="shared" si="5"/>
        <v>3.175E-2</v>
      </c>
      <c r="N9">
        <v>6</v>
      </c>
      <c r="Q9">
        <f t="shared" si="15"/>
        <v>14.5</v>
      </c>
      <c r="R9">
        <f t="shared" si="6"/>
        <v>2.5</v>
      </c>
      <c r="S9">
        <f t="shared" si="7"/>
        <v>6.3500000000000001E-2</v>
      </c>
      <c r="T9">
        <v>8.4</v>
      </c>
      <c r="V9">
        <f t="shared" si="16"/>
        <v>14.5</v>
      </c>
      <c r="W9">
        <f t="shared" si="8"/>
        <v>2.5</v>
      </c>
      <c r="X9">
        <f t="shared" si="9"/>
        <v>6.3500000000000001E-2</v>
      </c>
      <c r="Y9">
        <v>7.2</v>
      </c>
      <c r="AA9">
        <f t="shared" si="17"/>
        <v>14.5</v>
      </c>
      <c r="AB9">
        <f t="shared" si="10"/>
        <v>2.5</v>
      </c>
      <c r="AC9">
        <f t="shared" si="11"/>
        <v>6.3500000000000001E-2</v>
      </c>
      <c r="AD9">
        <v>7.2</v>
      </c>
    </row>
    <row r="10" spans="1:30" x14ac:dyDescent="0.5">
      <c r="A10">
        <f t="shared" si="12"/>
        <v>7.5</v>
      </c>
      <c r="B10">
        <f t="shared" si="0"/>
        <v>1.5</v>
      </c>
      <c r="C10">
        <f t="shared" si="1"/>
        <v>3.8099999999999995E-2</v>
      </c>
      <c r="D10">
        <v>7.4</v>
      </c>
      <c r="F10">
        <f t="shared" si="13"/>
        <v>7.5</v>
      </c>
      <c r="G10">
        <f t="shared" si="2"/>
        <v>1.5</v>
      </c>
      <c r="H10">
        <f t="shared" si="3"/>
        <v>3.8099999999999995E-2</v>
      </c>
      <c r="I10">
        <v>7.4</v>
      </c>
      <c r="K10">
        <f t="shared" si="14"/>
        <v>7.5</v>
      </c>
      <c r="L10">
        <f t="shared" si="4"/>
        <v>1.5</v>
      </c>
      <c r="M10">
        <f t="shared" si="5"/>
        <v>3.8099999999999995E-2</v>
      </c>
      <c r="N10">
        <v>6.6</v>
      </c>
      <c r="Q10">
        <f t="shared" si="15"/>
        <v>15</v>
      </c>
      <c r="R10">
        <f t="shared" si="6"/>
        <v>3</v>
      </c>
      <c r="S10">
        <f t="shared" si="7"/>
        <v>7.619999999999999E-2</v>
      </c>
      <c r="T10">
        <v>9.4</v>
      </c>
      <c r="V10">
        <f t="shared" si="16"/>
        <v>15</v>
      </c>
      <c r="W10">
        <f t="shared" si="8"/>
        <v>3</v>
      </c>
      <c r="X10">
        <f t="shared" si="9"/>
        <v>7.619999999999999E-2</v>
      </c>
      <c r="Y10">
        <v>8</v>
      </c>
      <c r="AA10">
        <f t="shared" si="17"/>
        <v>15</v>
      </c>
      <c r="AB10">
        <f t="shared" si="10"/>
        <v>3</v>
      </c>
      <c r="AC10">
        <f t="shared" si="11"/>
        <v>7.619999999999999E-2</v>
      </c>
      <c r="AD10">
        <v>8.1999999999999993</v>
      </c>
    </row>
    <row r="11" spans="1:30" x14ac:dyDescent="0.5">
      <c r="A11">
        <f t="shared" si="12"/>
        <v>7.75</v>
      </c>
      <c r="B11">
        <f t="shared" si="0"/>
        <v>1.75</v>
      </c>
      <c r="C11">
        <f t="shared" si="1"/>
        <v>4.4449999999999996E-2</v>
      </c>
      <c r="D11">
        <v>8.6</v>
      </c>
      <c r="F11">
        <f t="shared" si="13"/>
        <v>7.75</v>
      </c>
      <c r="G11">
        <f t="shared" si="2"/>
        <v>1.75</v>
      </c>
      <c r="H11">
        <f t="shared" si="3"/>
        <v>4.4449999999999996E-2</v>
      </c>
      <c r="I11">
        <v>8.4</v>
      </c>
      <c r="K11">
        <f t="shared" si="14"/>
        <v>7.75</v>
      </c>
      <c r="L11">
        <f t="shared" si="4"/>
        <v>1.75</v>
      </c>
      <c r="M11">
        <f t="shared" si="5"/>
        <v>4.4449999999999996E-2</v>
      </c>
      <c r="N11">
        <v>8</v>
      </c>
      <c r="Q11">
        <f t="shared" si="15"/>
        <v>15.5</v>
      </c>
      <c r="R11">
        <f t="shared" si="6"/>
        <v>3.5</v>
      </c>
      <c r="S11">
        <f t="shared" si="7"/>
        <v>8.8899999999999993E-2</v>
      </c>
      <c r="T11">
        <v>10.5</v>
      </c>
      <c r="V11">
        <f t="shared" si="16"/>
        <v>15.5</v>
      </c>
      <c r="W11">
        <f t="shared" si="8"/>
        <v>3.5</v>
      </c>
      <c r="X11">
        <f t="shared" si="9"/>
        <v>8.8899999999999993E-2</v>
      </c>
      <c r="Y11">
        <v>8.8000000000000007</v>
      </c>
      <c r="AA11">
        <f t="shared" si="17"/>
        <v>15.5</v>
      </c>
      <c r="AB11">
        <f t="shared" si="10"/>
        <v>3.5</v>
      </c>
      <c r="AC11">
        <f t="shared" si="11"/>
        <v>8.8899999999999993E-2</v>
      </c>
      <c r="AD11">
        <v>9.1999999999999993</v>
      </c>
    </row>
    <row r="12" spans="1:30" x14ac:dyDescent="0.5">
      <c r="A12">
        <f t="shared" si="12"/>
        <v>8</v>
      </c>
      <c r="B12">
        <f t="shared" si="0"/>
        <v>2</v>
      </c>
      <c r="C12">
        <f t="shared" si="1"/>
        <v>5.0799999999999998E-2</v>
      </c>
      <c r="D12">
        <v>9</v>
      </c>
      <c r="F12">
        <f t="shared" si="13"/>
        <v>8</v>
      </c>
      <c r="G12">
        <f t="shared" si="2"/>
        <v>2</v>
      </c>
      <c r="H12">
        <f t="shared" si="3"/>
        <v>5.0799999999999998E-2</v>
      </c>
      <c r="I12">
        <v>9</v>
      </c>
      <c r="K12">
        <f t="shared" si="14"/>
        <v>8</v>
      </c>
      <c r="L12">
        <f t="shared" si="4"/>
        <v>2</v>
      </c>
      <c r="M12">
        <f t="shared" si="5"/>
        <v>5.0799999999999998E-2</v>
      </c>
      <c r="N12">
        <v>9</v>
      </c>
      <c r="Q12">
        <f t="shared" si="15"/>
        <v>16</v>
      </c>
      <c r="R12">
        <f t="shared" si="6"/>
        <v>4</v>
      </c>
      <c r="S12">
        <f t="shared" si="7"/>
        <v>0.1016</v>
      </c>
      <c r="T12">
        <v>11.2</v>
      </c>
      <c r="V12">
        <f t="shared" si="16"/>
        <v>16</v>
      </c>
      <c r="W12">
        <f t="shared" si="8"/>
        <v>4</v>
      </c>
      <c r="X12">
        <f t="shared" si="9"/>
        <v>0.1016</v>
      </c>
      <c r="Y12">
        <v>9.8000000000000007</v>
      </c>
      <c r="AA12">
        <f t="shared" si="17"/>
        <v>16</v>
      </c>
      <c r="AB12">
        <f t="shared" si="10"/>
        <v>4</v>
      </c>
      <c r="AC12">
        <f t="shared" si="11"/>
        <v>0.1016</v>
      </c>
      <c r="AD12">
        <v>10</v>
      </c>
    </row>
    <row r="13" spans="1:30" x14ac:dyDescent="0.5">
      <c r="A13">
        <f t="shared" si="12"/>
        <v>8.25</v>
      </c>
      <c r="B13">
        <f t="shared" si="0"/>
        <v>2.25</v>
      </c>
      <c r="C13">
        <f t="shared" si="1"/>
        <v>5.7149999999999999E-2</v>
      </c>
      <c r="D13">
        <v>10</v>
      </c>
      <c r="F13">
        <f t="shared" si="13"/>
        <v>8.25</v>
      </c>
      <c r="G13">
        <f t="shared" si="2"/>
        <v>2.25</v>
      </c>
      <c r="H13">
        <f t="shared" si="3"/>
        <v>5.7149999999999999E-2</v>
      </c>
      <c r="I13">
        <v>10</v>
      </c>
      <c r="K13">
        <f t="shared" si="14"/>
        <v>8.25</v>
      </c>
      <c r="L13">
        <f t="shared" si="4"/>
        <v>2.25</v>
      </c>
      <c r="M13">
        <f t="shared" si="5"/>
        <v>5.7149999999999999E-2</v>
      </c>
      <c r="N13">
        <v>9.6</v>
      </c>
      <c r="Q13">
        <f t="shared" si="15"/>
        <v>16.5</v>
      </c>
      <c r="R13">
        <f t="shared" si="6"/>
        <v>4.5</v>
      </c>
      <c r="S13">
        <f t="shared" si="7"/>
        <v>0.1143</v>
      </c>
      <c r="T13">
        <v>12.6</v>
      </c>
      <c r="V13">
        <f t="shared" si="16"/>
        <v>16.5</v>
      </c>
      <c r="W13">
        <f t="shared" si="8"/>
        <v>4.5</v>
      </c>
      <c r="X13">
        <f t="shared" si="9"/>
        <v>0.1143</v>
      </c>
      <c r="Y13">
        <v>10.4</v>
      </c>
      <c r="AA13">
        <f t="shared" si="17"/>
        <v>16.5</v>
      </c>
      <c r="AB13">
        <f t="shared" si="10"/>
        <v>4.5</v>
      </c>
      <c r="AC13">
        <f t="shared" si="11"/>
        <v>0.1143</v>
      </c>
      <c r="AD13">
        <v>10.6</v>
      </c>
    </row>
    <row r="14" spans="1:30" x14ac:dyDescent="0.5">
      <c r="A14">
        <f t="shared" si="12"/>
        <v>8.5</v>
      </c>
      <c r="B14">
        <f t="shared" si="0"/>
        <v>2.5</v>
      </c>
      <c r="C14">
        <f t="shared" si="1"/>
        <v>6.3500000000000001E-2</v>
      </c>
      <c r="D14">
        <v>11</v>
      </c>
      <c r="F14">
        <f t="shared" si="13"/>
        <v>8.5</v>
      </c>
      <c r="G14">
        <f t="shared" si="2"/>
        <v>2.5</v>
      </c>
      <c r="H14">
        <f t="shared" si="3"/>
        <v>6.3500000000000001E-2</v>
      </c>
      <c r="I14">
        <v>10.8</v>
      </c>
      <c r="K14">
        <f t="shared" si="14"/>
        <v>8.5</v>
      </c>
      <c r="L14">
        <f t="shared" si="4"/>
        <v>2.5</v>
      </c>
      <c r="M14">
        <f t="shared" si="5"/>
        <v>6.3500000000000001E-2</v>
      </c>
      <c r="N14">
        <v>10.199999999999999</v>
      </c>
      <c r="Q14">
        <f t="shared" si="15"/>
        <v>17</v>
      </c>
      <c r="R14">
        <f t="shared" si="6"/>
        <v>5</v>
      </c>
      <c r="S14">
        <f t="shared" si="7"/>
        <v>0.127</v>
      </c>
      <c r="T14">
        <v>13.4</v>
      </c>
      <c r="V14">
        <f t="shared" si="16"/>
        <v>17</v>
      </c>
      <c r="W14">
        <f t="shared" si="8"/>
        <v>5</v>
      </c>
      <c r="X14">
        <f t="shared" si="9"/>
        <v>0.127</v>
      </c>
      <c r="Y14">
        <v>11.6</v>
      </c>
      <c r="AA14">
        <f t="shared" si="17"/>
        <v>17</v>
      </c>
      <c r="AB14">
        <f t="shared" si="10"/>
        <v>5</v>
      </c>
      <c r="AC14">
        <f t="shared" si="11"/>
        <v>0.127</v>
      </c>
      <c r="AD14">
        <v>11.6</v>
      </c>
    </row>
    <row r="15" spans="1:30" x14ac:dyDescent="0.5">
      <c r="A15">
        <f t="shared" si="12"/>
        <v>8.75</v>
      </c>
      <c r="B15">
        <f t="shared" si="0"/>
        <v>2.75</v>
      </c>
      <c r="C15">
        <f t="shared" si="1"/>
        <v>6.9849999999999995E-2</v>
      </c>
      <c r="D15">
        <v>11.6</v>
      </c>
      <c r="F15">
        <f t="shared" si="13"/>
        <v>8.75</v>
      </c>
      <c r="G15">
        <f t="shared" si="2"/>
        <v>2.75</v>
      </c>
      <c r="H15">
        <f t="shared" si="3"/>
        <v>6.9849999999999995E-2</v>
      </c>
      <c r="I15">
        <v>11.6</v>
      </c>
      <c r="K15">
        <f t="shared" si="14"/>
        <v>8.75</v>
      </c>
      <c r="L15">
        <f t="shared" si="4"/>
        <v>2.75</v>
      </c>
      <c r="M15">
        <f t="shared" si="5"/>
        <v>6.9849999999999995E-2</v>
      </c>
      <c r="N15">
        <v>10.8</v>
      </c>
      <c r="Q15">
        <f t="shared" si="15"/>
        <v>17.5</v>
      </c>
      <c r="R15">
        <f t="shared" si="6"/>
        <v>5.5</v>
      </c>
      <c r="S15">
        <f t="shared" si="7"/>
        <v>0.13969999999999999</v>
      </c>
      <c r="T15">
        <v>14</v>
      </c>
      <c r="V15">
        <f t="shared" si="16"/>
        <v>17.5</v>
      </c>
      <c r="W15">
        <f t="shared" si="8"/>
        <v>5.5</v>
      </c>
      <c r="X15">
        <f t="shared" si="9"/>
        <v>0.13969999999999999</v>
      </c>
      <c r="Y15">
        <v>12.2</v>
      </c>
      <c r="AA15">
        <f t="shared" si="17"/>
        <v>17.5</v>
      </c>
      <c r="AB15">
        <f t="shared" si="10"/>
        <v>5.5</v>
      </c>
      <c r="AC15">
        <f t="shared" si="11"/>
        <v>0.13969999999999999</v>
      </c>
      <c r="AD15">
        <v>12.2</v>
      </c>
    </row>
    <row r="16" spans="1:30" x14ac:dyDescent="0.5">
      <c r="A16">
        <f t="shared" si="12"/>
        <v>9</v>
      </c>
      <c r="B16">
        <f t="shared" si="0"/>
        <v>3</v>
      </c>
      <c r="C16">
        <f t="shared" si="1"/>
        <v>7.619999999999999E-2</v>
      </c>
      <c r="D16">
        <v>12.2</v>
      </c>
      <c r="F16">
        <f t="shared" si="13"/>
        <v>9</v>
      </c>
      <c r="G16">
        <f t="shared" si="2"/>
        <v>3</v>
      </c>
      <c r="H16">
        <f t="shared" si="3"/>
        <v>7.619999999999999E-2</v>
      </c>
      <c r="I16">
        <v>12</v>
      </c>
      <c r="K16">
        <f t="shared" si="14"/>
        <v>9</v>
      </c>
      <c r="L16">
        <f t="shared" si="4"/>
        <v>3</v>
      </c>
      <c r="M16">
        <f t="shared" si="5"/>
        <v>7.619999999999999E-2</v>
      </c>
      <c r="N16">
        <v>12.8</v>
      </c>
      <c r="Q16">
        <f t="shared" si="15"/>
        <v>18</v>
      </c>
      <c r="R16">
        <f t="shared" si="6"/>
        <v>6</v>
      </c>
      <c r="S16">
        <f t="shared" si="7"/>
        <v>0.15239999999999998</v>
      </c>
      <c r="T16">
        <v>14.8</v>
      </c>
      <c r="V16">
        <f t="shared" si="16"/>
        <v>18</v>
      </c>
      <c r="W16">
        <f t="shared" si="8"/>
        <v>6</v>
      </c>
      <c r="X16">
        <f t="shared" si="9"/>
        <v>0.15239999999999998</v>
      </c>
      <c r="Y16">
        <v>12.8</v>
      </c>
      <c r="AA16">
        <f t="shared" si="17"/>
        <v>18</v>
      </c>
      <c r="AB16">
        <f t="shared" si="10"/>
        <v>6</v>
      </c>
      <c r="AC16">
        <f t="shared" si="11"/>
        <v>0.15239999999999998</v>
      </c>
      <c r="AD16">
        <v>12.6</v>
      </c>
    </row>
    <row r="17" spans="1:30" x14ac:dyDescent="0.5">
      <c r="A17">
        <f t="shared" si="12"/>
        <v>9.25</v>
      </c>
      <c r="B17">
        <f t="shared" si="0"/>
        <v>3.25</v>
      </c>
      <c r="C17">
        <f t="shared" si="1"/>
        <v>8.2549999999999998E-2</v>
      </c>
      <c r="D17">
        <v>13</v>
      </c>
      <c r="F17">
        <f t="shared" si="13"/>
        <v>9.25</v>
      </c>
      <c r="G17">
        <f t="shared" si="2"/>
        <v>3.25</v>
      </c>
      <c r="H17">
        <f t="shared" si="3"/>
        <v>8.2549999999999998E-2</v>
      </c>
      <c r="I17">
        <v>12.8</v>
      </c>
      <c r="K17">
        <f t="shared" si="14"/>
        <v>9.25</v>
      </c>
      <c r="L17">
        <f t="shared" si="4"/>
        <v>3.25</v>
      </c>
      <c r="M17">
        <f t="shared" si="5"/>
        <v>8.2549999999999998E-2</v>
      </c>
      <c r="N17">
        <v>13.4</v>
      </c>
      <c r="Q17">
        <f t="shared" si="15"/>
        <v>18.5</v>
      </c>
      <c r="R17">
        <f t="shared" si="6"/>
        <v>6.5</v>
      </c>
      <c r="S17">
        <f t="shared" si="7"/>
        <v>0.1651</v>
      </c>
      <c r="T17">
        <v>15.4</v>
      </c>
      <c r="V17">
        <f t="shared" si="16"/>
        <v>18.5</v>
      </c>
      <c r="W17">
        <f t="shared" si="8"/>
        <v>6.5</v>
      </c>
      <c r="X17">
        <f t="shared" si="9"/>
        <v>0.1651</v>
      </c>
      <c r="Y17">
        <v>13.4</v>
      </c>
      <c r="AA17">
        <f t="shared" si="17"/>
        <v>18.5</v>
      </c>
      <c r="AB17">
        <f t="shared" si="10"/>
        <v>6.5</v>
      </c>
      <c r="AC17">
        <f t="shared" si="11"/>
        <v>0.1651</v>
      </c>
      <c r="AD17">
        <v>13.2</v>
      </c>
    </row>
    <row r="18" spans="1:30" x14ac:dyDescent="0.5">
      <c r="A18">
        <f t="shared" si="12"/>
        <v>9.5</v>
      </c>
      <c r="B18">
        <f t="shared" si="0"/>
        <v>3.5</v>
      </c>
      <c r="C18">
        <f t="shared" si="1"/>
        <v>8.8899999999999993E-2</v>
      </c>
      <c r="D18">
        <v>13.6</v>
      </c>
      <c r="F18">
        <f t="shared" si="13"/>
        <v>9.5</v>
      </c>
      <c r="G18">
        <f t="shared" si="2"/>
        <v>3.5</v>
      </c>
      <c r="H18">
        <f t="shared" si="3"/>
        <v>8.8899999999999993E-2</v>
      </c>
      <c r="I18">
        <v>13.2</v>
      </c>
      <c r="K18">
        <f t="shared" si="14"/>
        <v>9.5</v>
      </c>
      <c r="L18">
        <f t="shared" si="4"/>
        <v>3.5</v>
      </c>
      <c r="M18">
        <f t="shared" si="5"/>
        <v>8.8899999999999993E-2</v>
      </c>
      <c r="N18">
        <v>13.8</v>
      </c>
      <c r="Q18">
        <f t="shared" si="15"/>
        <v>19</v>
      </c>
      <c r="R18">
        <f t="shared" si="6"/>
        <v>7</v>
      </c>
      <c r="S18">
        <f t="shared" si="7"/>
        <v>0.17779999999999999</v>
      </c>
      <c r="T18">
        <v>16.2</v>
      </c>
      <c r="V18">
        <f t="shared" si="16"/>
        <v>19</v>
      </c>
      <c r="W18">
        <f t="shared" si="8"/>
        <v>7</v>
      </c>
      <c r="X18">
        <f t="shared" si="9"/>
        <v>0.17779999999999999</v>
      </c>
      <c r="Y18">
        <v>14</v>
      </c>
      <c r="AA18">
        <f t="shared" si="17"/>
        <v>19</v>
      </c>
      <c r="AB18">
        <f t="shared" si="10"/>
        <v>7</v>
      </c>
      <c r="AC18">
        <f t="shared" si="11"/>
        <v>0.17779999999999999</v>
      </c>
      <c r="AD18">
        <v>14.2</v>
      </c>
    </row>
    <row r="19" spans="1:30" x14ac:dyDescent="0.5">
      <c r="A19">
        <f t="shared" si="12"/>
        <v>9.75</v>
      </c>
      <c r="B19">
        <f t="shared" si="0"/>
        <v>3.75</v>
      </c>
      <c r="C19">
        <f t="shared" si="1"/>
        <v>9.5250000000000001E-2</v>
      </c>
      <c r="D19">
        <v>14.2</v>
      </c>
      <c r="F19">
        <f t="shared" si="13"/>
        <v>9.75</v>
      </c>
      <c r="G19">
        <f t="shared" si="2"/>
        <v>3.75</v>
      </c>
      <c r="H19">
        <f t="shared" si="3"/>
        <v>9.5250000000000001E-2</v>
      </c>
      <c r="I19">
        <v>14</v>
      </c>
      <c r="K19">
        <f t="shared" si="14"/>
        <v>9.75</v>
      </c>
      <c r="L19">
        <f t="shared" si="4"/>
        <v>3.75</v>
      </c>
      <c r="M19">
        <f t="shared" si="5"/>
        <v>9.5250000000000001E-2</v>
      </c>
      <c r="N19">
        <v>14.4</v>
      </c>
      <c r="Q19">
        <f t="shared" si="15"/>
        <v>19.5</v>
      </c>
      <c r="R19">
        <f t="shared" si="6"/>
        <v>7.5</v>
      </c>
      <c r="S19">
        <f>R19*0.0254</f>
        <v>0.1905</v>
      </c>
      <c r="T19">
        <v>16.8</v>
      </c>
      <c r="V19">
        <f t="shared" si="16"/>
        <v>19.5</v>
      </c>
      <c r="W19">
        <f t="shared" si="8"/>
        <v>7.5</v>
      </c>
      <c r="X19">
        <f>W19*0.0254</f>
        <v>0.1905</v>
      </c>
      <c r="Y19">
        <v>14.6</v>
      </c>
      <c r="AA19">
        <f t="shared" si="17"/>
        <v>19.5</v>
      </c>
      <c r="AB19">
        <f t="shared" si="10"/>
        <v>7.5</v>
      </c>
      <c r="AC19">
        <f>AB19*0.0254</f>
        <v>0.1905</v>
      </c>
      <c r="AD19">
        <v>14.6</v>
      </c>
    </row>
    <row r="20" spans="1:30" x14ac:dyDescent="0.5">
      <c r="A20">
        <f t="shared" si="12"/>
        <v>10</v>
      </c>
      <c r="B20">
        <f t="shared" si="0"/>
        <v>4</v>
      </c>
      <c r="C20">
        <f t="shared" si="1"/>
        <v>0.1016</v>
      </c>
      <c r="D20">
        <v>14.4</v>
      </c>
      <c r="F20">
        <f t="shared" si="13"/>
        <v>10</v>
      </c>
      <c r="G20">
        <f t="shared" si="2"/>
        <v>4</v>
      </c>
      <c r="H20">
        <f t="shared" si="3"/>
        <v>0.1016</v>
      </c>
      <c r="I20">
        <v>14.4</v>
      </c>
      <c r="K20">
        <f t="shared" si="14"/>
        <v>10</v>
      </c>
      <c r="L20">
        <f t="shared" si="4"/>
        <v>4</v>
      </c>
      <c r="M20">
        <f t="shared" si="5"/>
        <v>0.1016</v>
      </c>
      <c r="N20">
        <v>14.8</v>
      </c>
      <c r="Q20">
        <f t="shared" si="15"/>
        <v>20</v>
      </c>
      <c r="R20">
        <f t="shared" si="6"/>
        <v>8</v>
      </c>
      <c r="S20">
        <f t="shared" si="7"/>
        <v>0.20319999999999999</v>
      </c>
      <c r="T20">
        <v>17.399999999999999</v>
      </c>
      <c r="V20">
        <f t="shared" si="16"/>
        <v>20</v>
      </c>
      <c r="W20">
        <f t="shared" si="8"/>
        <v>8</v>
      </c>
      <c r="X20">
        <f t="shared" si="9"/>
        <v>0.20319999999999999</v>
      </c>
      <c r="Y20">
        <v>15.2</v>
      </c>
      <c r="AA20">
        <f t="shared" si="17"/>
        <v>20</v>
      </c>
      <c r="AB20">
        <f t="shared" si="10"/>
        <v>8</v>
      </c>
      <c r="AC20">
        <f t="shared" si="11"/>
        <v>0.20319999999999999</v>
      </c>
      <c r="AD20">
        <v>15.2</v>
      </c>
    </row>
    <row r="21" spans="1:30" x14ac:dyDescent="0.5">
      <c r="A21">
        <f t="shared" si="12"/>
        <v>10.25</v>
      </c>
      <c r="B21">
        <f t="shared" si="0"/>
        <v>4.25</v>
      </c>
      <c r="C21">
        <f t="shared" si="1"/>
        <v>0.10794999999999999</v>
      </c>
      <c r="D21">
        <v>15.2</v>
      </c>
      <c r="F21">
        <f t="shared" si="13"/>
        <v>10.25</v>
      </c>
      <c r="G21">
        <f t="shared" si="2"/>
        <v>4.25</v>
      </c>
      <c r="H21">
        <f t="shared" si="3"/>
        <v>0.10794999999999999</v>
      </c>
      <c r="I21">
        <v>15</v>
      </c>
      <c r="K21">
        <f t="shared" si="14"/>
        <v>10.25</v>
      </c>
      <c r="L21">
        <f t="shared" si="4"/>
        <v>4.25</v>
      </c>
      <c r="M21">
        <f t="shared" si="5"/>
        <v>0.10794999999999999</v>
      </c>
      <c r="N21">
        <v>15.4</v>
      </c>
      <c r="Q21">
        <f t="shared" si="15"/>
        <v>20.5</v>
      </c>
      <c r="R21">
        <f t="shared" si="6"/>
        <v>8.5</v>
      </c>
      <c r="S21">
        <f t="shared" si="7"/>
        <v>0.21589999999999998</v>
      </c>
      <c r="T21">
        <v>17.8</v>
      </c>
      <c r="V21">
        <f t="shared" si="16"/>
        <v>20.5</v>
      </c>
      <c r="W21">
        <f t="shared" si="8"/>
        <v>8.5</v>
      </c>
      <c r="X21">
        <f t="shared" si="9"/>
        <v>0.21589999999999998</v>
      </c>
      <c r="Y21">
        <v>15.6</v>
      </c>
      <c r="AA21">
        <f t="shared" si="17"/>
        <v>20.5</v>
      </c>
      <c r="AB21">
        <f t="shared" si="10"/>
        <v>8.5</v>
      </c>
      <c r="AC21">
        <f t="shared" si="11"/>
        <v>0.21589999999999998</v>
      </c>
      <c r="AD21">
        <v>15.8</v>
      </c>
    </row>
    <row r="22" spans="1:30" x14ac:dyDescent="0.5">
      <c r="A22">
        <f t="shared" si="12"/>
        <v>10.5</v>
      </c>
      <c r="B22">
        <f t="shared" si="0"/>
        <v>4.5</v>
      </c>
      <c r="C22">
        <f t="shared" si="1"/>
        <v>0.1143</v>
      </c>
      <c r="D22">
        <v>15.6</v>
      </c>
      <c r="F22">
        <f t="shared" si="13"/>
        <v>10.5</v>
      </c>
      <c r="G22">
        <f t="shared" si="2"/>
        <v>4.5</v>
      </c>
      <c r="H22">
        <f t="shared" si="3"/>
        <v>0.1143</v>
      </c>
      <c r="I22">
        <v>15.6</v>
      </c>
      <c r="K22">
        <f t="shared" si="14"/>
        <v>10.5</v>
      </c>
      <c r="L22">
        <f t="shared" si="4"/>
        <v>4.5</v>
      </c>
      <c r="M22">
        <f t="shared" si="5"/>
        <v>0.1143</v>
      </c>
      <c r="N22">
        <v>15.8</v>
      </c>
      <c r="Q22">
        <f t="shared" si="15"/>
        <v>21</v>
      </c>
      <c r="R22">
        <f t="shared" si="6"/>
        <v>9</v>
      </c>
      <c r="S22">
        <f t="shared" si="7"/>
        <v>0.2286</v>
      </c>
      <c r="T22">
        <v>18.8</v>
      </c>
      <c r="V22">
        <f t="shared" si="16"/>
        <v>21</v>
      </c>
      <c r="W22">
        <f t="shared" si="8"/>
        <v>9</v>
      </c>
      <c r="X22">
        <f t="shared" si="9"/>
        <v>0.2286</v>
      </c>
      <c r="Y22">
        <v>16.2</v>
      </c>
      <c r="AA22">
        <f t="shared" si="17"/>
        <v>21</v>
      </c>
      <c r="AB22">
        <f t="shared" si="10"/>
        <v>9</v>
      </c>
      <c r="AC22">
        <f t="shared" si="11"/>
        <v>0.2286</v>
      </c>
      <c r="AD22">
        <v>16.2</v>
      </c>
    </row>
    <row r="23" spans="1:30" x14ac:dyDescent="0.5">
      <c r="A23">
        <f t="shared" si="12"/>
        <v>10.75</v>
      </c>
      <c r="B23">
        <f t="shared" si="0"/>
        <v>4.75</v>
      </c>
      <c r="C23">
        <f t="shared" si="1"/>
        <v>0.12064999999999999</v>
      </c>
      <c r="D23">
        <v>16.399999999999999</v>
      </c>
      <c r="F23">
        <f t="shared" si="13"/>
        <v>10.75</v>
      </c>
      <c r="G23">
        <f t="shared" si="2"/>
        <v>4.75</v>
      </c>
      <c r="H23">
        <f t="shared" si="3"/>
        <v>0.12064999999999999</v>
      </c>
      <c r="I23">
        <v>16</v>
      </c>
      <c r="K23">
        <f t="shared" si="14"/>
        <v>10.75</v>
      </c>
      <c r="L23">
        <f t="shared" si="4"/>
        <v>4.75</v>
      </c>
      <c r="M23">
        <f t="shared" si="5"/>
        <v>0.12064999999999999</v>
      </c>
      <c r="N23">
        <v>16.399999999999999</v>
      </c>
      <c r="Q23">
        <f t="shared" si="15"/>
        <v>21.5</v>
      </c>
      <c r="R23">
        <f t="shared" si="6"/>
        <v>9.5</v>
      </c>
      <c r="S23">
        <f t="shared" si="7"/>
        <v>0.24129999999999999</v>
      </c>
      <c r="T23">
        <v>19</v>
      </c>
      <c r="V23">
        <f t="shared" si="16"/>
        <v>21.5</v>
      </c>
      <c r="W23">
        <f t="shared" si="8"/>
        <v>9.5</v>
      </c>
      <c r="X23">
        <f t="shared" si="9"/>
        <v>0.24129999999999999</v>
      </c>
      <c r="Y23">
        <v>16.600000000000001</v>
      </c>
      <c r="AA23">
        <f t="shared" si="17"/>
        <v>21.5</v>
      </c>
      <c r="AB23">
        <f t="shared" si="10"/>
        <v>9.5</v>
      </c>
      <c r="AC23">
        <f t="shared" si="11"/>
        <v>0.24129999999999999</v>
      </c>
      <c r="AD23">
        <v>16.600000000000001</v>
      </c>
    </row>
    <row r="24" spans="1:30" x14ac:dyDescent="0.5">
      <c r="A24">
        <f t="shared" si="12"/>
        <v>11</v>
      </c>
      <c r="B24">
        <f t="shared" si="0"/>
        <v>5</v>
      </c>
      <c r="C24">
        <f t="shared" si="1"/>
        <v>0.127</v>
      </c>
      <c r="D24">
        <v>17</v>
      </c>
      <c r="F24">
        <f t="shared" si="13"/>
        <v>11</v>
      </c>
      <c r="G24">
        <f t="shared" si="2"/>
        <v>5</v>
      </c>
      <c r="H24">
        <f t="shared" si="3"/>
        <v>0.127</v>
      </c>
      <c r="I24">
        <v>16.600000000000001</v>
      </c>
      <c r="K24">
        <f t="shared" si="14"/>
        <v>11</v>
      </c>
      <c r="L24">
        <f t="shared" si="4"/>
        <v>5</v>
      </c>
      <c r="M24">
        <f t="shared" si="5"/>
        <v>0.127</v>
      </c>
      <c r="N24">
        <v>16.600000000000001</v>
      </c>
      <c r="Q24">
        <f t="shared" si="15"/>
        <v>22</v>
      </c>
      <c r="R24">
        <f t="shared" si="6"/>
        <v>10</v>
      </c>
      <c r="S24">
        <f t="shared" si="7"/>
        <v>0.254</v>
      </c>
      <c r="T24">
        <v>19.399999999999999</v>
      </c>
      <c r="V24">
        <f t="shared" si="16"/>
        <v>22</v>
      </c>
      <c r="W24">
        <f t="shared" si="8"/>
        <v>10</v>
      </c>
      <c r="X24">
        <f t="shared" si="9"/>
        <v>0.254</v>
      </c>
      <c r="Y24">
        <v>17</v>
      </c>
      <c r="AA24">
        <f t="shared" si="17"/>
        <v>22</v>
      </c>
      <c r="AB24">
        <f t="shared" si="10"/>
        <v>10</v>
      </c>
      <c r="AC24">
        <f t="shared" si="11"/>
        <v>0.254</v>
      </c>
      <c r="AD24">
        <v>17.2</v>
      </c>
    </row>
    <row r="25" spans="1:30" x14ac:dyDescent="0.5">
      <c r="A25">
        <f t="shared" si="12"/>
        <v>11.25</v>
      </c>
      <c r="B25">
        <f t="shared" si="0"/>
        <v>5.25</v>
      </c>
      <c r="C25">
        <f t="shared" si="1"/>
        <v>0.13335</v>
      </c>
      <c r="D25">
        <v>17.399999999999999</v>
      </c>
      <c r="F25">
        <f t="shared" si="13"/>
        <v>11.25</v>
      </c>
      <c r="G25">
        <f t="shared" si="2"/>
        <v>5.25</v>
      </c>
      <c r="H25">
        <f t="shared" si="3"/>
        <v>0.13335</v>
      </c>
      <c r="I25">
        <v>17</v>
      </c>
      <c r="K25">
        <f t="shared" si="14"/>
        <v>11.25</v>
      </c>
      <c r="L25">
        <f t="shared" si="4"/>
        <v>5.25</v>
      </c>
      <c r="M25">
        <f t="shared" si="5"/>
        <v>0.13335</v>
      </c>
      <c r="N25">
        <v>17.399999999999999</v>
      </c>
      <c r="Q25">
        <f t="shared" si="15"/>
        <v>22.5</v>
      </c>
      <c r="R25">
        <f t="shared" si="6"/>
        <v>10.5</v>
      </c>
      <c r="S25">
        <f t="shared" si="7"/>
        <v>0.26669999999999999</v>
      </c>
      <c r="T25">
        <v>20.2</v>
      </c>
      <c r="V25">
        <f t="shared" si="16"/>
        <v>22.5</v>
      </c>
      <c r="W25">
        <f t="shared" si="8"/>
        <v>10.5</v>
      </c>
      <c r="X25">
        <f t="shared" si="9"/>
        <v>0.26669999999999999</v>
      </c>
      <c r="Y25">
        <v>17.600000000000001</v>
      </c>
      <c r="AA25">
        <f t="shared" si="17"/>
        <v>22.5</v>
      </c>
      <c r="AB25">
        <f t="shared" si="10"/>
        <v>10.5</v>
      </c>
      <c r="AC25">
        <f t="shared" si="11"/>
        <v>0.26669999999999999</v>
      </c>
      <c r="AD25">
        <v>17.8</v>
      </c>
    </row>
    <row r="26" spans="1:30" x14ac:dyDescent="0.5">
      <c r="A26">
        <f t="shared" si="12"/>
        <v>11.5</v>
      </c>
      <c r="B26">
        <f t="shared" si="0"/>
        <v>5.5</v>
      </c>
      <c r="C26">
        <f t="shared" si="1"/>
        <v>0.13969999999999999</v>
      </c>
      <c r="D26">
        <v>18</v>
      </c>
      <c r="F26">
        <f t="shared" si="13"/>
        <v>11.5</v>
      </c>
      <c r="G26">
        <f t="shared" si="2"/>
        <v>5.5</v>
      </c>
      <c r="H26">
        <f t="shared" si="3"/>
        <v>0.13969999999999999</v>
      </c>
      <c r="I26">
        <v>17.399999999999999</v>
      </c>
      <c r="K26">
        <f t="shared" si="14"/>
        <v>11.5</v>
      </c>
      <c r="L26">
        <f t="shared" si="4"/>
        <v>5.5</v>
      </c>
      <c r="M26">
        <f t="shared" si="5"/>
        <v>0.13969999999999999</v>
      </c>
      <c r="N26">
        <v>17.8</v>
      </c>
      <c r="Q26">
        <f t="shared" si="15"/>
        <v>23</v>
      </c>
      <c r="R26">
        <f t="shared" si="6"/>
        <v>11</v>
      </c>
      <c r="S26">
        <f t="shared" si="7"/>
        <v>0.27939999999999998</v>
      </c>
      <c r="T26">
        <v>20.6</v>
      </c>
      <c r="V26">
        <f t="shared" si="16"/>
        <v>23</v>
      </c>
      <c r="W26">
        <f t="shared" si="8"/>
        <v>11</v>
      </c>
      <c r="X26">
        <f t="shared" si="9"/>
        <v>0.27939999999999998</v>
      </c>
      <c r="Y26">
        <v>18.2</v>
      </c>
      <c r="AA26">
        <f t="shared" si="17"/>
        <v>23</v>
      </c>
      <c r="AB26">
        <f t="shared" si="10"/>
        <v>11</v>
      </c>
      <c r="AC26">
        <f t="shared" si="11"/>
        <v>0.27939999999999998</v>
      </c>
      <c r="AD26">
        <v>18</v>
      </c>
    </row>
    <row r="27" spans="1:30" x14ac:dyDescent="0.5">
      <c r="A27">
        <f t="shared" si="12"/>
        <v>11.75</v>
      </c>
      <c r="B27">
        <f t="shared" si="0"/>
        <v>5.75</v>
      </c>
      <c r="C27">
        <f t="shared" si="1"/>
        <v>0.14604999999999999</v>
      </c>
      <c r="D27">
        <v>18.600000000000001</v>
      </c>
      <c r="F27">
        <f t="shared" si="13"/>
        <v>11.75</v>
      </c>
      <c r="G27">
        <f t="shared" si="2"/>
        <v>5.75</v>
      </c>
      <c r="H27">
        <f t="shared" si="3"/>
        <v>0.14604999999999999</v>
      </c>
      <c r="I27">
        <v>18</v>
      </c>
      <c r="K27">
        <f t="shared" si="14"/>
        <v>11.75</v>
      </c>
      <c r="L27">
        <f t="shared" si="4"/>
        <v>5.75</v>
      </c>
      <c r="M27">
        <f t="shared" si="5"/>
        <v>0.14604999999999999</v>
      </c>
      <c r="N27">
        <v>18.399999999999999</v>
      </c>
      <c r="Q27">
        <f t="shared" si="15"/>
        <v>23.5</v>
      </c>
      <c r="R27">
        <f t="shared" si="6"/>
        <v>11.5</v>
      </c>
      <c r="S27">
        <f t="shared" si="7"/>
        <v>0.29209999999999997</v>
      </c>
      <c r="T27">
        <v>21.2</v>
      </c>
      <c r="V27">
        <f t="shared" si="16"/>
        <v>23.5</v>
      </c>
      <c r="W27">
        <f t="shared" si="8"/>
        <v>11.5</v>
      </c>
      <c r="X27">
        <f t="shared" si="9"/>
        <v>0.29209999999999997</v>
      </c>
      <c r="Y27">
        <v>18.600000000000001</v>
      </c>
      <c r="AA27">
        <f t="shared" si="17"/>
        <v>23.5</v>
      </c>
      <c r="AB27">
        <f t="shared" si="10"/>
        <v>11.5</v>
      </c>
      <c r="AC27">
        <f t="shared" si="11"/>
        <v>0.29209999999999997</v>
      </c>
      <c r="AD27">
        <v>18.600000000000001</v>
      </c>
    </row>
    <row r="28" spans="1:30" x14ac:dyDescent="0.5">
      <c r="A28">
        <f t="shared" si="12"/>
        <v>12</v>
      </c>
      <c r="B28">
        <f t="shared" si="0"/>
        <v>6</v>
      </c>
      <c r="C28">
        <f t="shared" si="1"/>
        <v>0.15239999999999998</v>
      </c>
      <c r="D28">
        <v>19</v>
      </c>
      <c r="F28">
        <f t="shared" si="13"/>
        <v>12</v>
      </c>
      <c r="G28">
        <f t="shared" si="2"/>
        <v>6</v>
      </c>
      <c r="H28">
        <f t="shared" si="3"/>
        <v>0.15239999999999998</v>
      </c>
      <c r="I28">
        <v>18.600000000000001</v>
      </c>
      <c r="K28">
        <f t="shared" si="14"/>
        <v>12</v>
      </c>
      <c r="L28">
        <f t="shared" si="4"/>
        <v>6</v>
      </c>
      <c r="M28">
        <f t="shared" si="5"/>
        <v>0.15239999999999998</v>
      </c>
      <c r="N28">
        <v>18.8</v>
      </c>
      <c r="Q28">
        <f t="shared" si="15"/>
        <v>24</v>
      </c>
      <c r="R28">
        <f t="shared" si="6"/>
        <v>12</v>
      </c>
      <c r="S28">
        <f t="shared" si="7"/>
        <v>0.30479999999999996</v>
      </c>
      <c r="T28">
        <v>21.6</v>
      </c>
      <c r="V28">
        <f t="shared" si="16"/>
        <v>24</v>
      </c>
      <c r="W28">
        <f t="shared" si="8"/>
        <v>12</v>
      </c>
      <c r="X28">
        <f t="shared" si="9"/>
        <v>0.30479999999999996</v>
      </c>
      <c r="Y28">
        <v>19</v>
      </c>
      <c r="AA28">
        <f t="shared" si="17"/>
        <v>24</v>
      </c>
      <c r="AB28">
        <f t="shared" si="10"/>
        <v>12</v>
      </c>
      <c r="AC28">
        <f t="shared" si="11"/>
        <v>0.30479999999999996</v>
      </c>
      <c r="AD28">
        <v>19.2</v>
      </c>
    </row>
    <row r="29" spans="1:30" x14ac:dyDescent="0.5">
      <c r="A29">
        <f t="shared" si="12"/>
        <v>12.25</v>
      </c>
      <c r="B29">
        <f t="shared" si="0"/>
        <v>6.25</v>
      </c>
      <c r="C29">
        <f t="shared" si="1"/>
        <v>0.15875</v>
      </c>
      <c r="D29">
        <v>19.2</v>
      </c>
      <c r="F29">
        <f t="shared" si="13"/>
        <v>12.25</v>
      </c>
      <c r="G29">
        <f t="shared" si="2"/>
        <v>6.25</v>
      </c>
      <c r="H29">
        <f t="shared" si="3"/>
        <v>0.15875</v>
      </c>
      <c r="I29">
        <v>19</v>
      </c>
      <c r="K29">
        <f t="shared" si="14"/>
        <v>12.25</v>
      </c>
      <c r="L29">
        <f t="shared" si="4"/>
        <v>6.25</v>
      </c>
      <c r="M29">
        <f t="shared" si="5"/>
        <v>0.15875</v>
      </c>
      <c r="N29">
        <v>19.399999999999999</v>
      </c>
      <c r="Q29">
        <f t="shared" si="15"/>
        <v>24.5</v>
      </c>
      <c r="R29">
        <f t="shared" si="6"/>
        <v>12.5</v>
      </c>
      <c r="S29">
        <f t="shared" si="7"/>
        <v>0.3175</v>
      </c>
      <c r="T29">
        <v>22.2</v>
      </c>
      <c r="V29">
        <f t="shared" si="16"/>
        <v>24.5</v>
      </c>
      <c r="W29">
        <f t="shared" si="8"/>
        <v>12.5</v>
      </c>
      <c r="X29">
        <f t="shared" si="9"/>
        <v>0.3175</v>
      </c>
      <c r="Y29">
        <v>19.399999999999999</v>
      </c>
      <c r="AA29">
        <f t="shared" si="17"/>
        <v>24.5</v>
      </c>
      <c r="AB29">
        <f t="shared" si="10"/>
        <v>12.5</v>
      </c>
      <c r="AC29">
        <f t="shared" si="11"/>
        <v>0.3175</v>
      </c>
      <c r="AD29">
        <v>19.8</v>
      </c>
    </row>
    <row r="30" spans="1:30" x14ac:dyDescent="0.5">
      <c r="A30">
        <f t="shared" si="12"/>
        <v>12.5</v>
      </c>
      <c r="B30">
        <f t="shared" si="0"/>
        <v>6.5</v>
      </c>
      <c r="C30">
        <f t="shared" si="1"/>
        <v>0.1651</v>
      </c>
      <c r="D30">
        <v>19.8</v>
      </c>
      <c r="F30">
        <f t="shared" si="13"/>
        <v>12.5</v>
      </c>
      <c r="G30">
        <f t="shared" si="2"/>
        <v>6.5</v>
      </c>
      <c r="H30">
        <f t="shared" si="3"/>
        <v>0.1651</v>
      </c>
      <c r="I30">
        <v>19.399999999999999</v>
      </c>
      <c r="K30">
        <f t="shared" si="14"/>
        <v>12.5</v>
      </c>
      <c r="L30">
        <f t="shared" si="4"/>
        <v>6.5</v>
      </c>
      <c r="M30">
        <f t="shared" si="5"/>
        <v>0.1651</v>
      </c>
      <c r="N30">
        <v>19.600000000000001</v>
      </c>
      <c r="Q30">
        <f t="shared" si="15"/>
        <v>25</v>
      </c>
      <c r="R30">
        <f t="shared" si="6"/>
        <v>13</v>
      </c>
      <c r="S30">
        <f t="shared" si="7"/>
        <v>0.33019999999999999</v>
      </c>
      <c r="T30">
        <v>22.4</v>
      </c>
      <c r="V30">
        <f t="shared" si="16"/>
        <v>25</v>
      </c>
      <c r="W30">
        <f t="shared" si="8"/>
        <v>13</v>
      </c>
      <c r="X30">
        <f t="shared" si="9"/>
        <v>0.33019999999999999</v>
      </c>
      <c r="Y30">
        <v>19.8</v>
      </c>
      <c r="AA30">
        <f t="shared" si="17"/>
        <v>25</v>
      </c>
      <c r="AB30">
        <f t="shared" si="10"/>
        <v>13</v>
      </c>
      <c r="AC30">
        <f t="shared" si="11"/>
        <v>0.33019999999999999</v>
      </c>
      <c r="AD30">
        <v>20.399999999999999</v>
      </c>
    </row>
    <row r="31" spans="1:30" x14ac:dyDescent="0.5">
      <c r="A31">
        <f t="shared" si="12"/>
        <v>12.75</v>
      </c>
      <c r="B31">
        <f t="shared" si="0"/>
        <v>6.75</v>
      </c>
      <c r="C31">
        <f t="shared" si="1"/>
        <v>0.17144999999999999</v>
      </c>
      <c r="D31">
        <v>20.6</v>
      </c>
      <c r="F31">
        <f t="shared" si="13"/>
        <v>12.75</v>
      </c>
      <c r="G31">
        <f t="shared" si="2"/>
        <v>6.75</v>
      </c>
      <c r="H31">
        <f t="shared" si="3"/>
        <v>0.17144999999999999</v>
      </c>
      <c r="I31">
        <v>19.8</v>
      </c>
      <c r="K31">
        <f t="shared" si="14"/>
        <v>12.75</v>
      </c>
      <c r="L31">
        <f t="shared" si="4"/>
        <v>6.75</v>
      </c>
      <c r="M31">
        <f t="shared" si="5"/>
        <v>0.17144999999999999</v>
      </c>
      <c r="N31">
        <v>20</v>
      </c>
      <c r="Q31">
        <f t="shared" si="15"/>
        <v>25.5</v>
      </c>
      <c r="R31">
        <f t="shared" si="6"/>
        <v>13.5</v>
      </c>
      <c r="S31">
        <f t="shared" si="7"/>
        <v>0.34289999999999998</v>
      </c>
      <c r="T31">
        <v>23</v>
      </c>
      <c r="V31">
        <f t="shared" si="16"/>
        <v>25.5</v>
      </c>
      <c r="W31">
        <f t="shared" si="8"/>
        <v>13.5</v>
      </c>
      <c r="X31">
        <f t="shared" si="9"/>
        <v>0.34289999999999998</v>
      </c>
      <c r="Y31">
        <v>20.399999999999999</v>
      </c>
      <c r="AA31">
        <f t="shared" si="17"/>
        <v>25.5</v>
      </c>
      <c r="AB31">
        <f t="shared" si="10"/>
        <v>13.5</v>
      </c>
      <c r="AC31">
        <f t="shared" si="11"/>
        <v>0.34289999999999998</v>
      </c>
      <c r="AD31">
        <v>20.8</v>
      </c>
    </row>
    <row r="32" spans="1:30" x14ac:dyDescent="0.5">
      <c r="A32">
        <f t="shared" si="12"/>
        <v>13</v>
      </c>
      <c r="B32">
        <f t="shared" si="0"/>
        <v>7</v>
      </c>
      <c r="C32">
        <f t="shared" si="1"/>
        <v>0.17779999999999999</v>
      </c>
      <c r="D32">
        <v>21</v>
      </c>
      <c r="F32">
        <f t="shared" si="13"/>
        <v>13</v>
      </c>
      <c r="G32">
        <f t="shared" si="2"/>
        <v>7</v>
      </c>
      <c r="H32">
        <f t="shared" si="3"/>
        <v>0.17779999999999999</v>
      </c>
      <c r="I32">
        <v>20.399999999999999</v>
      </c>
      <c r="K32">
        <f t="shared" si="14"/>
        <v>13</v>
      </c>
      <c r="L32">
        <f t="shared" si="4"/>
        <v>7</v>
      </c>
      <c r="M32">
        <f t="shared" si="5"/>
        <v>0.17779999999999999</v>
      </c>
      <c r="N32">
        <v>20.399999999999999</v>
      </c>
      <c r="Q32">
        <f t="shared" si="15"/>
        <v>26</v>
      </c>
      <c r="R32">
        <f t="shared" si="6"/>
        <v>14</v>
      </c>
      <c r="S32">
        <f t="shared" si="7"/>
        <v>0.35559999999999997</v>
      </c>
      <c r="T32">
        <v>23.6</v>
      </c>
      <c r="V32">
        <f t="shared" si="16"/>
        <v>26</v>
      </c>
      <c r="W32">
        <f t="shared" si="8"/>
        <v>14</v>
      </c>
      <c r="X32">
        <f t="shared" si="9"/>
        <v>0.35559999999999997</v>
      </c>
      <c r="Y32">
        <v>20.8</v>
      </c>
      <c r="AA32">
        <f t="shared" si="17"/>
        <v>26</v>
      </c>
      <c r="AB32">
        <f t="shared" si="10"/>
        <v>14</v>
      </c>
      <c r="AC32">
        <f t="shared" si="11"/>
        <v>0.35559999999999997</v>
      </c>
      <c r="AD32">
        <v>21.4</v>
      </c>
    </row>
    <row r="33" spans="1:30" x14ac:dyDescent="0.5">
      <c r="A33">
        <f t="shared" si="12"/>
        <v>13.25</v>
      </c>
      <c r="B33">
        <f t="shared" si="0"/>
        <v>7.25</v>
      </c>
      <c r="C33">
        <f t="shared" si="1"/>
        <v>0.18414999999999998</v>
      </c>
      <c r="D33">
        <v>21.6</v>
      </c>
      <c r="F33">
        <f t="shared" si="13"/>
        <v>13.25</v>
      </c>
      <c r="G33">
        <f t="shared" si="2"/>
        <v>7.25</v>
      </c>
      <c r="H33">
        <f t="shared" si="3"/>
        <v>0.18414999999999998</v>
      </c>
      <c r="I33">
        <v>20.6</v>
      </c>
      <c r="K33">
        <f t="shared" si="14"/>
        <v>13.25</v>
      </c>
      <c r="L33">
        <f t="shared" si="4"/>
        <v>7.25</v>
      </c>
      <c r="M33">
        <f t="shared" si="5"/>
        <v>0.18414999999999998</v>
      </c>
      <c r="N33">
        <v>21</v>
      </c>
      <c r="Q33">
        <f t="shared" si="15"/>
        <v>26.5</v>
      </c>
      <c r="R33">
        <f t="shared" si="6"/>
        <v>14.5</v>
      </c>
      <c r="S33">
        <f t="shared" si="7"/>
        <v>0.36829999999999996</v>
      </c>
      <c r="T33">
        <v>24</v>
      </c>
      <c r="V33">
        <f t="shared" si="16"/>
        <v>26.5</v>
      </c>
      <c r="W33">
        <f t="shared" si="8"/>
        <v>14.5</v>
      </c>
      <c r="X33">
        <f t="shared" si="9"/>
        <v>0.36829999999999996</v>
      </c>
      <c r="Y33">
        <v>21.2</v>
      </c>
      <c r="AA33">
        <f t="shared" si="17"/>
        <v>26.5</v>
      </c>
      <c r="AB33">
        <f t="shared" si="10"/>
        <v>14.5</v>
      </c>
      <c r="AC33">
        <f t="shared" si="11"/>
        <v>0.36829999999999996</v>
      </c>
      <c r="AD33">
        <v>21.8</v>
      </c>
    </row>
    <row r="34" spans="1:30" x14ac:dyDescent="0.5">
      <c r="A34">
        <f t="shared" si="12"/>
        <v>13.5</v>
      </c>
      <c r="B34">
        <f t="shared" si="0"/>
        <v>7.5</v>
      </c>
      <c r="C34">
        <f t="shared" si="1"/>
        <v>0.1905</v>
      </c>
      <c r="D34">
        <v>21.8</v>
      </c>
      <c r="F34">
        <f t="shared" si="13"/>
        <v>13.5</v>
      </c>
      <c r="G34">
        <f t="shared" si="2"/>
        <v>7.5</v>
      </c>
      <c r="H34">
        <f t="shared" si="3"/>
        <v>0.1905</v>
      </c>
      <c r="I34">
        <v>21.2</v>
      </c>
      <c r="K34">
        <f t="shared" si="14"/>
        <v>13.5</v>
      </c>
      <c r="L34">
        <f t="shared" si="4"/>
        <v>7.5</v>
      </c>
      <c r="M34">
        <f t="shared" si="5"/>
        <v>0.1905</v>
      </c>
      <c r="N34">
        <v>21.4</v>
      </c>
      <c r="Q34">
        <f t="shared" si="15"/>
        <v>27</v>
      </c>
      <c r="R34">
        <f t="shared" si="6"/>
        <v>15</v>
      </c>
      <c r="S34">
        <f t="shared" si="7"/>
        <v>0.38100000000000001</v>
      </c>
      <c r="T34">
        <v>24.2</v>
      </c>
      <c r="V34">
        <f t="shared" si="16"/>
        <v>27</v>
      </c>
      <c r="W34">
        <f t="shared" si="8"/>
        <v>15</v>
      </c>
      <c r="X34">
        <f t="shared" si="9"/>
        <v>0.38100000000000001</v>
      </c>
      <c r="Y34">
        <v>22</v>
      </c>
      <c r="AA34">
        <f t="shared" si="17"/>
        <v>27</v>
      </c>
      <c r="AB34">
        <f t="shared" si="10"/>
        <v>15</v>
      </c>
      <c r="AC34">
        <f t="shared" si="11"/>
        <v>0.38100000000000001</v>
      </c>
      <c r="AD34">
        <v>22.4</v>
      </c>
    </row>
    <row r="35" spans="1:30" x14ac:dyDescent="0.5">
      <c r="A35">
        <f>A34+0.25</f>
        <v>13.75</v>
      </c>
      <c r="B35">
        <f t="shared" si="0"/>
        <v>7.75</v>
      </c>
      <c r="C35">
        <f t="shared" si="1"/>
        <v>0.19685</v>
      </c>
      <c r="D35">
        <v>22.4</v>
      </c>
      <c r="F35">
        <f>F34+0.25</f>
        <v>13.75</v>
      </c>
      <c r="G35">
        <f t="shared" si="2"/>
        <v>7.75</v>
      </c>
      <c r="H35">
        <f t="shared" si="3"/>
        <v>0.19685</v>
      </c>
      <c r="I35">
        <v>21.6</v>
      </c>
      <c r="K35">
        <f>K34+0.25</f>
        <v>13.75</v>
      </c>
      <c r="L35">
        <f t="shared" si="4"/>
        <v>7.75</v>
      </c>
      <c r="M35">
        <f t="shared" si="5"/>
        <v>0.19685</v>
      </c>
      <c r="N35">
        <v>21.8</v>
      </c>
      <c r="Q35">
        <f t="shared" si="15"/>
        <v>27.5</v>
      </c>
      <c r="R35">
        <f t="shared" si="6"/>
        <v>15.5</v>
      </c>
      <c r="S35">
        <f t="shared" si="7"/>
        <v>0.39369999999999999</v>
      </c>
      <c r="T35">
        <v>24.8</v>
      </c>
      <c r="V35">
        <f t="shared" si="16"/>
        <v>27.5</v>
      </c>
      <c r="W35">
        <f t="shared" si="8"/>
        <v>15.5</v>
      </c>
      <c r="X35">
        <f t="shared" si="9"/>
        <v>0.39369999999999999</v>
      </c>
      <c r="Y35">
        <v>22.6</v>
      </c>
      <c r="AA35">
        <f t="shared" si="17"/>
        <v>27.5</v>
      </c>
      <c r="AB35">
        <f t="shared" si="10"/>
        <v>15.5</v>
      </c>
      <c r="AC35">
        <f t="shared" si="11"/>
        <v>0.39369999999999999</v>
      </c>
      <c r="AD35">
        <v>22.8</v>
      </c>
    </row>
    <row r="36" spans="1:30" x14ac:dyDescent="0.5">
      <c r="A36">
        <f t="shared" si="12"/>
        <v>14</v>
      </c>
      <c r="B36">
        <f t="shared" si="0"/>
        <v>8</v>
      </c>
      <c r="C36">
        <f t="shared" si="1"/>
        <v>0.20319999999999999</v>
      </c>
      <c r="D36">
        <v>22.8</v>
      </c>
      <c r="F36">
        <f t="shared" si="13"/>
        <v>14</v>
      </c>
      <c r="G36">
        <f t="shared" si="2"/>
        <v>8</v>
      </c>
      <c r="H36">
        <f t="shared" si="3"/>
        <v>0.20319999999999999</v>
      </c>
      <c r="I36">
        <v>22</v>
      </c>
      <c r="K36">
        <f t="shared" si="14"/>
        <v>14</v>
      </c>
      <c r="L36">
        <f t="shared" si="4"/>
        <v>8</v>
      </c>
      <c r="M36">
        <f t="shared" si="5"/>
        <v>0.20319999999999999</v>
      </c>
      <c r="N36">
        <v>22.2</v>
      </c>
      <c r="Q36">
        <f t="shared" si="15"/>
        <v>28</v>
      </c>
      <c r="R36">
        <f t="shared" si="6"/>
        <v>16</v>
      </c>
      <c r="S36">
        <f t="shared" si="7"/>
        <v>0.40639999999999998</v>
      </c>
      <c r="T36">
        <v>25.2</v>
      </c>
      <c r="V36">
        <f t="shared" si="16"/>
        <v>28</v>
      </c>
      <c r="W36">
        <f t="shared" si="8"/>
        <v>16</v>
      </c>
      <c r="X36">
        <f t="shared" si="9"/>
        <v>0.40639999999999998</v>
      </c>
      <c r="Y36">
        <v>23</v>
      </c>
      <c r="AA36">
        <f t="shared" si="17"/>
        <v>28</v>
      </c>
      <c r="AB36">
        <f t="shared" si="10"/>
        <v>16</v>
      </c>
      <c r="AC36">
        <f t="shared" si="11"/>
        <v>0.40639999999999998</v>
      </c>
      <c r="AD36">
        <v>23.2</v>
      </c>
    </row>
    <row r="37" spans="1:30" x14ac:dyDescent="0.5">
      <c r="A37">
        <f t="shared" si="12"/>
        <v>14.25</v>
      </c>
      <c r="B37">
        <f t="shared" si="0"/>
        <v>8.25</v>
      </c>
      <c r="C37">
        <f t="shared" si="1"/>
        <v>0.20954999999999999</v>
      </c>
      <c r="D37">
        <v>23.2</v>
      </c>
      <c r="F37">
        <f t="shared" si="13"/>
        <v>14.25</v>
      </c>
      <c r="G37">
        <f t="shared" si="2"/>
        <v>8.25</v>
      </c>
      <c r="H37">
        <f t="shared" si="3"/>
        <v>0.20954999999999999</v>
      </c>
      <c r="I37">
        <v>22.4</v>
      </c>
      <c r="K37">
        <f t="shared" si="14"/>
        <v>14.25</v>
      </c>
      <c r="L37">
        <f t="shared" si="4"/>
        <v>8.25</v>
      </c>
      <c r="M37">
        <f t="shared" si="5"/>
        <v>0.20954999999999999</v>
      </c>
      <c r="N37">
        <v>22.8</v>
      </c>
      <c r="Q37">
        <f t="shared" si="15"/>
        <v>28.5</v>
      </c>
      <c r="R37">
        <f t="shared" si="6"/>
        <v>16.5</v>
      </c>
      <c r="S37">
        <f t="shared" si="7"/>
        <v>0.41909999999999997</v>
      </c>
      <c r="T37">
        <v>25.8</v>
      </c>
      <c r="V37">
        <f t="shared" si="16"/>
        <v>28.5</v>
      </c>
      <c r="W37">
        <f t="shared" si="8"/>
        <v>16.5</v>
      </c>
      <c r="X37">
        <f t="shared" si="9"/>
        <v>0.41909999999999997</v>
      </c>
      <c r="Y37">
        <v>23.6</v>
      </c>
      <c r="AA37">
        <f t="shared" si="17"/>
        <v>28.5</v>
      </c>
      <c r="AB37">
        <f t="shared" si="10"/>
        <v>16.5</v>
      </c>
      <c r="AC37">
        <f t="shared" si="11"/>
        <v>0.41909999999999997</v>
      </c>
      <c r="AD37">
        <v>23.8</v>
      </c>
    </row>
    <row r="38" spans="1:30" x14ac:dyDescent="0.5">
      <c r="A38">
        <f t="shared" si="12"/>
        <v>14.5</v>
      </c>
      <c r="B38">
        <f t="shared" si="0"/>
        <v>8.5</v>
      </c>
      <c r="C38">
        <f t="shared" si="1"/>
        <v>0.21589999999999998</v>
      </c>
      <c r="D38">
        <v>24</v>
      </c>
      <c r="F38">
        <f t="shared" si="13"/>
        <v>14.5</v>
      </c>
      <c r="G38">
        <f t="shared" si="2"/>
        <v>8.5</v>
      </c>
      <c r="H38">
        <f t="shared" si="3"/>
        <v>0.21589999999999998</v>
      </c>
      <c r="I38">
        <v>22.8</v>
      </c>
      <c r="K38">
        <f t="shared" si="14"/>
        <v>14.5</v>
      </c>
      <c r="L38">
        <f t="shared" si="4"/>
        <v>8.5</v>
      </c>
      <c r="M38">
        <f t="shared" si="5"/>
        <v>0.21589999999999998</v>
      </c>
      <c r="N38">
        <v>23.2</v>
      </c>
      <c r="Q38">
        <f t="shared" si="15"/>
        <v>29</v>
      </c>
      <c r="R38">
        <f t="shared" si="6"/>
        <v>17</v>
      </c>
      <c r="S38">
        <f t="shared" si="7"/>
        <v>0.43179999999999996</v>
      </c>
      <c r="T38">
        <v>26.2</v>
      </c>
      <c r="V38">
        <f t="shared" si="16"/>
        <v>29</v>
      </c>
      <c r="W38">
        <f t="shared" si="8"/>
        <v>17</v>
      </c>
      <c r="X38">
        <f t="shared" si="9"/>
        <v>0.43179999999999996</v>
      </c>
      <c r="Y38">
        <v>24</v>
      </c>
      <c r="AA38">
        <f t="shared" si="17"/>
        <v>29</v>
      </c>
      <c r="AB38">
        <f t="shared" si="10"/>
        <v>17</v>
      </c>
      <c r="AC38">
        <f t="shared" si="11"/>
        <v>0.43179999999999996</v>
      </c>
      <c r="AD38">
        <v>24.4</v>
      </c>
    </row>
    <row r="39" spans="1:30" x14ac:dyDescent="0.5">
      <c r="A39">
        <f t="shared" si="12"/>
        <v>14.75</v>
      </c>
      <c r="B39">
        <f t="shared" si="0"/>
        <v>8.75</v>
      </c>
      <c r="C39">
        <f t="shared" si="1"/>
        <v>0.22225</v>
      </c>
      <c r="D39">
        <v>24.4</v>
      </c>
      <c r="F39">
        <f t="shared" si="13"/>
        <v>14.75</v>
      </c>
      <c r="G39">
        <f t="shared" si="2"/>
        <v>8.75</v>
      </c>
      <c r="H39">
        <f t="shared" si="3"/>
        <v>0.22225</v>
      </c>
      <c r="I39">
        <v>23.2</v>
      </c>
      <c r="K39">
        <f t="shared" si="14"/>
        <v>14.75</v>
      </c>
      <c r="L39">
        <f t="shared" si="4"/>
        <v>8.75</v>
      </c>
      <c r="M39">
        <f t="shared" si="5"/>
        <v>0.22225</v>
      </c>
      <c r="N39">
        <v>23.6</v>
      </c>
      <c r="Q39">
        <f t="shared" si="15"/>
        <v>29.5</v>
      </c>
      <c r="R39">
        <f t="shared" si="6"/>
        <v>17.5</v>
      </c>
      <c r="S39">
        <f t="shared" si="7"/>
        <v>0.44450000000000001</v>
      </c>
      <c r="T39">
        <v>26.8</v>
      </c>
      <c r="V39">
        <f t="shared" si="16"/>
        <v>29.5</v>
      </c>
      <c r="W39">
        <f t="shared" si="8"/>
        <v>17.5</v>
      </c>
      <c r="X39">
        <f t="shared" si="9"/>
        <v>0.44450000000000001</v>
      </c>
      <c r="Y39">
        <v>24.6</v>
      </c>
      <c r="AA39">
        <f t="shared" si="17"/>
        <v>29.5</v>
      </c>
      <c r="AB39">
        <f t="shared" si="10"/>
        <v>17.5</v>
      </c>
      <c r="AC39">
        <f t="shared" si="11"/>
        <v>0.44450000000000001</v>
      </c>
      <c r="AD39">
        <v>24.8</v>
      </c>
    </row>
    <row r="40" spans="1:30" x14ac:dyDescent="0.5">
      <c r="A40">
        <f t="shared" si="12"/>
        <v>15</v>
      </c>
      <c r="B40">
        <f t="shared" si="0"/>
        <v>9</v>
      </c>
      <c r="C40">
        <f t="shared" si="1"/>
        <v>0.2286</v>
      </c>
      <c r="D40">
        <v>24.8</v>
      </c>
      <c r="F40">
        <f t="shared" si="13"/>
        <v>15</v>
      </c>
      <c r="G40">
        <f t="shared" si="2"/>
        <v>9</v>
      </c>
      <c r="H40">
        <f t="shared" si="3"/>
        <v>0.2286</v>
      </c>
      <c r="I40">
        <v>23.8</v>
      </c>
      <c r="K40">
        <f t="shared" si="14"/>
        <v>15</v>
      </c>
      <c r="L40">
        <f t="shared" si="4"/>
        <v>9</v>
      </c>
      <c r="M40">
        <f t="shared" si="5"/>
        <v>0.2286</v>
      </c>
      <c r="N40">
        <v>24.6</v>
      </c>
      <c r="Q40">
        <f t="shared" si="15"/>
        <v>30</v>
      </c>
      <c r="R40">
        <f t="shared" si="6"/>
        <v>18</v>
      </c>
      <c r="S40">
        <f t="shared" si="7"/>
        <v>0.4572</v>
      </c>
      <c r="T40">
        <v>27.2</v>
      </c>
      <c r="V40">
        <f t="shared" si="16"/>
        <v>30</v>
      </c>
      <c r="W40">
        <f t="shared" si="8"/>
        <v>18</v>
      </c>
      <c r="X40">
        <f t="shared" si="9"/>
        <v>0.4572</v>
      </c>
      <c r="Y40">
        <v>25.2</v>
      </c>
      <c r="AA40">
        <f t="shared" si="17"/>
        <v>30</v>
      </c>
      <c r="AB40">
        <f t="shared" si="10"/>
        <v>18</v>
      </c>
      <c r="AC40">
        <f t="shared" si="11"/>
        <v>0.4572</v>
      </c>
      <c r="AD40">
        <v>25.2</v>
      </c>
    </row>
    <row r="41" spans="1:30" x14ac:dyDescent="0.5">
      <c r="A41">
        <f t="shared" si="12"/>
        <v>15.25</v>
      </c>
      <c r="B41">
        <f t="shared" si="0"/>
        <v>9.25</v>
      </c>
      <c r="C41">
        <f t="shared" si="1"/>
        <v>0.23494999999999999</v>
      </c>
      <c r="D41">
        <v>25.6</v>
      </c>
      <c r="F41">
        <f t="shared" si="13"/>
        <v>15.25</v>
      </c>
      <c r="G41">
        <f t="shared" si="2"/>
        <v>9.25</v>
      </c>
      <c r="H41">
        <f t="shared" si="3"/>
        <v>0.23494999999999999</v>
      </c>
      <c r="I41">
        <v>24.4</v>
      </c>
      <c r="K41">
        <f t="shared" si="14"/>
        <v>15.25</v>
      </c>
      <c r="L41">
        <f t="shared" si="4"/>
        <v>9.25</v>
      </c>
      <c r="M41">
        <f t="shared" si="5"/>
        <v>0.23494999999999999</v>
      </c>
      <c r="N41">
        <v>24.4</v>
      </c>
      <c r="Q41">
        <f t="shared" si="15"/>
        <v>30.5</v>
      </c>
      <c r="R41">
        <f t="shared" si="6"/>
        <v>18.5</v>
      </c>
      <c r="S41">
        <f t="shared" si="7"/>
        <v>0.46989999999999998</v>
      </c>
      <c r="T41">
        <v>27.6</v>
      </c>
      <c r="V41">
        <f t="shared" si="16"/>
        <v>30.5</v>
      </c>
      <c r="W41">
        <f t="shared" si="8"/>
        <v>18.5</v>
      </c>
      <c r="X41">
        <f t="shared" si="9"/>
        <v>0.46989999999999998</v>
      </c>
      <c r="Y41">
        <v>25.6</v>
      </c>
      <c r="AA41">
        <f t="shared" si="17"/>
        <v>30.5</v>
      </c>
      <c r="AB41">
        <f t="shared" si="10"/>
        <v>18.5</v>
      </c>
      <c r="AC41">
        <f t="shared" si="11"/>
        <v>0.46989999999999998</v>
      </c>
      <c r="AD41">
        <v>25.6</v>
      </c>
    </row>
    <row r="42" spans="1:30" x14ac:dyDescent="0.5">
      <c r="A42">
        <f t="shared" si="12"/>
        <v>15.5</v>
      </c>
      <c r="B42">
        <f t="shared" si="0"/>
        <v>9.5</v>
      </c>
      <c r="C42">
        <f t="shared" si="1"/>
        <v>0.24129999999999999</v>
      </c>
      <c r="D42">
        <v>26</v>
      </c>
      <c r="F42">
        <f t="shared" si="13"/>
        <v>15.5</v>
      </c>
      <c r="G42">
        <f t="shared" si="2"/>
        <v>9.5</v>
      </c>
      <c r="H42">
        <f t="shared" si="3"/>
        <v>0.24129999999999999</v>
      </c>
      <c r="I42">
        <v>24.8</v>
      </c>
      <c r="K42">
        <f t="shared" si="14"/>
        <v>15.5</v>
      </c>
      <c r="L42">
        <f t="shared" si="4"/>
        <v>9.5</v>
      </c>
      <c r="M42">
        <f t="shared" si="5"/>
        <v>0.24129999999999999</v>
      </c>
      <c r="N42">
        <v>25</v>
      </c>
      <c r="Q42">
        <f t="shared" si="15"/>
        <v>31</v>
      </c>
      <c r="R42">
        <f t="shared" si="6"/>
        <v>19</v>
      </c>
      <c r="S42">
        <f t="shared" si="7"/>
        <v>0.48259999999999997</v>
      </c>
      <c r="T42">
        <v>28.2</v>
      </c>
      <c r="V42">
        <f t="shared" si="16"/>
        <v>31</v>
      </c>
      <c r="W42">
        <f t="shared" si="8"/>
        <v>19</v>
      </c>
      <c r="X42">
        <f t="shared" si="9"/>
        <v>0.48259999999999997</v>
      </c>
      <c r="Y42">
        <v>26.2</v>
      </c>
      <c r="AA42">
        <f t="shared" si="17"/>
        <v>31</v>
      </c>
      <c r="AB42">
        <f t="shared" si="10"/>
        <v>19</v>
      </c>
      <c r="AC42">
        <f t="shared" si="11"/>
        <v>0.48259999999999997</v>
      </c>
      <c r="AD42">
        <v>26.2</v>
      </c>
    </row>
    <row r="43" spans="1:30" x14ac:dyDescent="0.5">
      <c r="A43">
        <f t="shared" si="12"/>
        <v>15.75</v>
      </c>
      <c r="B43">
        <f t="shared" si="0"/>
        <v>9.75</v>
      </c>
      <c r="C43">
        <f t="shared" si="1"/>
        <v>0.24764999999999998</v>
      </c>
      <c r="D43">
        <v>26.4</v>
      </c>
      <c r="F43">
        <f t="shared" si="13"/>
        <v>15.75</v>
      </c>
      <c r="G43">
        <f t="shared" si="2"/>
        <v>9.75</v>
      </c>
      <c r="H43">
        <f t="shared" si="3"/>
        <v>0.24764999999999998</v>
      </c>
      <c r="I43">
        <v>25</v>
      </c>
      <c r="K43">
        <f t="shared" si="14"/>
        <v>15.75</v>
      </c>
      <c r="L43">
        <f t="shared" si="4"/>
        <v>9.75</v>
      </c>
      <c r="M43">
        <f t="shared" si="5"/>
        <v>0.24764999999999998</v>
      </c>
      <c r="N43">
        <v>25.2</v>
      </c>
      <c r="Q43">
        <f t="shared" si="15"/>
        <v>31.5</v>
      </c>
      <c r="R43">
        <f t="shared" si="6"/>
        <v>19.5</v>
      </c>
      <c r="S43">
        <f t="shared" si="7"/>
        <v>0.49529999999999996</v>
      </c>
      <c r="T43">
        <v>28.6</v>
      </c>
      <c r="V43">
        <f t="shared" si="16"/>
        <v>31.5</v>
      </c>
      <c r="W43">
        <f t="shared" si="8"/>
        <v>19.5</v>
      </c>
      <c r="X43">
        <f t="shared" si="9"/>
        <v>0.49529999999999996</v>
      </c>
      <c r="Y43">
        <v>26.6</v>
      </c>
      <c r="AA43">
        <f t="shared" si="17"/>
        <v>31.5</v>
      </c>
      <c r="AB43">
        <f t="shared" si="10"/>
        <v>19.5</v>
      </c>
      <c r="AC43">
        <f t="shared" si="11"/>
        <v>0.49529999999999996</v>
      </c>
      <c r="AD43">
        <v>26.6</v>
      </c>
    </row>
    <row r="44" spans="1:30" x14ac:dyDescent="0.5">
      <c r="A44">
        <f t="shared" si="12"/>
        <v>16</v>
      </c>
      <c r="B44">
        <f t="shared" si="0"/>
        <v>10</v>
      </c>
      <c r="C44">
        <f t="shared" si="1"/>
        <v>0.254</v>
      </c>
      <c r="D44">
        <v>26.6</v>
      </c>
      <c r="F44">
        <f t="shared" si="13"/>
        <v>16</v>
      </c>
      <c r="G44">
        <f t="shared" si="2"/>
        <v>10</v>
      </c>
      <c r="H44">
        <f t="shared" si="3"/>
        <v>0.254</v>
      </c>
      <c r="I44">
        <v>25.6</v>
      </c>
      <c r="K44">
        <f t="shared" si="14"/>
        <v>16</v>
      </c>
      <c r="L44">
        <f t="shared" si="4"/>
        <v>10</v>
      </c>
      <c r="M44">
        <f t="shared" si="5"/>
        <v>0.254</v>
      </c>
      <c r="N44">
        <v>25.8</v>
      </c>
      <c r="Q44">
        <f t="shared" si="15"/>
        <v>32</v>
      </c>
      <c r="R44">
        <f t="shared" si="6"/>
        <v>20</v>
      </c>
      <c r="S44">
        <f t="shared" si="7"/>
        <v>0.50800000000000001</v>
      </c>
      <c r="T44">
        <v>29.2</v>
      </c>
      <c r="V44">
        <f t="shared" si="16"/>
        <v>32</v>
      </c>
      <c r="W44">
        <f t="shared" si="8"/>
        <v>20</v>
      </c>
      <c r="X44">
        <f t="shared" si="9"/>
        <v>0.50800000000000001</v>
      </c>
      <c r="Y44">
        <v>27</v>
      </c>
      <c r="AA44">
        <f t="shared" si="17"/>
        <v>32</v>
      </c>
      <c r="AB44">
        <f t="shared" si="10"/>
        <v>20</v>
      </c>
      <c r="AC44">
        <f t="shared" si="11"/>
        <v>0.50800000000000001</v>
      </c>
      <c r="AD44">
        <v>27</v>
      </c>
    </row>
    <row r="45" spans="1:30" x14ac:dyDescent="0.5">
      <c r="A45">
        <f t="shared" si="12"/>
        <v>16.25</v>
      </c>
      <c r="B45">
        <f t="shared" si="0"/>
        <v>10.25</v>
      </c>
      <c r="C45">
        <f t="shared" si="1"/>
        <v>0.26034999999999997</v>
      </c>
      <c r="D45">
        <v>27</v>
      </c>
      <c r="F45">
        <f t="shared" si="13"/>
        <v>16.25</v>
      </c>
      <c r="G45">
        <f t="shared" si="2"/>
        <v>10.25</v>
      </c>
      <c r="H45">
        <f t="shared" si="3"/>
        <v>0.26034999999999997</v>
      </c>
      <c r="I45">
        <v>26</v>
      </c>
      <c r="K45">
        <f t="shared" si="14"/>
        <v>16.25</v>
      </c>
      <c r="L45">
        <f t="shared" si="4"/>
        <v>10.25</v>
      </c>
      <c r="M45">
        <f t="shared" si="5"/>
        <v>0.26034999999999997</v>
      </c>
      <c r="N45">
        <v>26.4</v>
      </c>
      <c r="Q45">
        <f t="shared" si="15"/>
        <v>32.5</v>
      </c>
      <c r="R45">
        <f t="shared" si="6"/>
        <v>20.5</v>
      </c>
      <c r="S45">
        <f t="shared" si="7"/>
        <v>0.52069999999999994</v>
      </c>
      <c r="T45">
        <v>29.6</v>
      </c>
      <c r="V45">
        <f t="shared" si="16"/>
        <v>32.5</v>
      </c>
      <c r="W45">
        <f t="shared" si="8"/>
        <v>20.5</v>
      </c>
      <c r="X45">
        <f t="shared" si="9"/>
        <v>0.52069999999999994</v>
      </c>
      <c r="Y45">
        <v>27.6</v>
      </c>
      <c r="AA45">
        <f t="shared" si="17"/>
        <v>32.5</v>
      </c>
      <c r="AB45">
        <f t="shared" si="10"/>
        <v>20.5</v>
      </c>
      <c r="AC45">
        <f t="shared" si="11"/>
        <v>0.52069999999999994</v>
      </c>
      <c r="AD45">
        <v>27.4</v>
      </c>
    </row>
    <row r="46" spans="1:30" x14ac:dyDescent="0.5">
      <c r="A46">
        <f>A45+0.25</f>
        <v>16.5</v>
      </c>
      <c r="B46">
        <f t="shared" si="0"/>
        <v>10.5</v>
      </c>
      <c r="C46">
        <f t="shared" si="1"/>
        <v>0.26669999999999999</v>
      </c>
      <c r="D46">
        <v>27.8</v>
      </c>
      <c r="F46">
        <f>F45+0.25</f>
        <v>16.5</v>
      </c>
      <c r="G46">
        <f t="shared" si="2"/>
        <v>10.5</v>
      </c>
      <c r="H46">
        <f t="shared" si="3"/>
        <v>0.26669999999999999</v>
      </c>
      <c r="I46">
        <v>26.6</v>
      </c>
      <c r="K46">
        <f>K45+0.25</f>
        <v>16.5</v>
      </c>
      <c r="L46">
        <f t="shared" si="4"/>
        <v>10.5</v>
      </c>
      <c r="M46">
        <f t="shared" si="5"/>
        <v>0.26669999999999999</v>
      </c>
      <c r="N46">
        <v>27</v>
      </c>
      <c r="Q46">
        <f t="shared" si="15"/>
        <v>33</v>
      </c>
      <c r="R46">
        <f t="shared" si="6"/>
        <v>21</v>
      </c>
      <c r="S46">
        <f t="shared" si="7"/>
        <v>0.53339999999999999</v>
      </c>
      <c r="T46">
        <v>30</v>
      </c>
      <c r="V46">
        <f t="shared" si="16"/>
        <v>33</v>
      </c>
      <c r="W46">
        <f t="shared" si="8"/>
        <v>21</v>
      </c>
      <c r="X46">
        <f t="shared" si="9"/>
        <v>0.53339999999999999</v>
      </c>
      <c r="Y46">
        <v>28.2</v>
      </c>
      <c r="AA46">
        <f t="shared" si="17"/>
        <v>33</v>
      </c>
      <c r="AB46">
        <f t="shared" si="10"/>
        <v>21</v>
      </c>
      <c r="AC46">
        <f t="shared" si="11"/>
        <v>0.53339999999999999</v>
      </c>
      <c r="AD46">
        <v>28.2</v>
      </c>
    </row>
    <row r="47" spans="1:30" x14ac:dyDescent="0.5">
      <c r="A47">
        <f t="shared" ref="A47:A51" si="18">A46+0.25</f>
        <v>16.75</v>
      </c>
      <c r="B47">
        <f t="shared" si="0"/>
        <v>10.75</v>
      </c>
      <c r="C47">
        <f t="shared" si="1"/>
        <v>0.27305000000000001</v>
      </c>
      <c r="D47">
        <v>28.2</v>
      </c>
      <c r="F47">
        <f t="shared" ref="F47:F51" si="19">F46+0.25</f>
        <v>16.75</v>
      </c>
      <c r="G47">
        <f t="shared" si="2"/>
        <v>10.75</v>
      </c>
      <c r="H47">
        <f t="shared" si="3"/>
        <v>0.27305000000000001</v>
      </c>
      <c r="I47">
        <v>27.2</v>
      </c>
      <c r="K47">
        <f t="shared" ref="K47:K51" si="20">K46+0.25</f>
        <v>16.75</v>
      </c>
      <c r="L47">
        <f t="shared" si="4"/>
        <v>10.75</v>
      </c>
      <c r="M47">
        <f t="shared" si="5"/>
        <v>0.27305000000000001</v>
      </c>
      <c r="N47">
        <v>27.4</v>
      </c>
      <c r="Q47">
        <f t="shared" si="15"/>
        <v>33.5</v>
      </c>
      <c r="R47">
        <f t="shared" si="6"/>
        <v>21.5</v>
      </c>
      <c r="S47">
        <f t="shared" si="7"/>
        <v>0.54610000000000003</v>
      </c>
      <c r="T47">
        <v>30.4</v>
      </c>
      <c r="V47">
        <f t="shared" si="16"/>
        <v>33.5</v>
      </c>
      <c r="W47">
        <f t="shared" si="8"/>
        <v>21.5</v>
      </c>
      <c r="X47">
        <f t="shared" si="9"/>
        <v>0.54610000000000003</v>
      </c>
      <c r="Y47">
        <v>28.8</v>
      </c>
      <c r="AA47">
        <f t="shared" si="17"/>
        <v>33.5</v>
      </c>
      <c r="AB47">
        <f t="shared" si="10"/>
        <v>21.5</v>
      </c>
      <c r="AC47">
        <f t="shared" si="11"/>
        <v>0.54610000000000003</v>
      </c>
      <c r="AD47">
        <v>28.6</v>
      </c>
    </row>
    <row r="48" spans="1:30" x14ac:dyDescent="0.5">
      <c r="A48">
        <f t="shared" si="18"/>
        <v>17</v>
      </c>
      <c r="B48">
        <f t="shared" si="0"/>
        <v>11</v>
      </c>
      <c r="C48">
        <f t="shared" si="1"/>
        <v>0.27939999999999998</v>
      </c>
      <c r="D48">
        <v>28.6</v>
      </c>
      <c r="F48">
        <f t="shared" si="19"/>
        <v>17</v>
      </c>
      <c r="G48">
        <f t="shared" si="2"/>
        <v>11</v>
      </c>
      <c r="H48">
        <f t="shared" si="3"/>
        <v>0.27939999999999998</v>
      </c>
      <c r="I48">
        <v>27.6</v>
      </c>
      <c r="K48">
        <f t="shared" si="20"/>
        <v>17</v>
      </c>
      <c r="L48">
        <f t="shared" si="4"/>
        <v>11</v>
      </c>
      <c r="M48">
        <f t="shared" si="5"/>
        <v>0.27939999999999998</v>
      </c>
      <c r="N48">
        <v>28</v>
      </c>
      <c r="Q48">
        <f t="shared" si="15"/>
        <v>34</v>
      </c>
      <c r="R48">
        <f t="shared" si="6"/>
        <v>22</v>
      </c>
      <c r="S48">
        <f t="shared" si="7"/>
        <v>0.55879999999999996</v>
      </c>
      <c r="T48">
        <v>31</v>
      </c>
      <c r="V48">
        <f t="shared" si="16"/>
        <v>34</v>
      </c>
      <c r="W48">
        <f t="shared" si="8"/>
        <v>22</v>
      </c>
      <c r="X48">
        <f t="shared" si="9"/>
        <v>0.55879999999999996</v>
      </c>
      <c r="Y48">
        <v>29.2</v>
      </c>
      <c r="AA48">
        <f t="shared" si="17"/>
        <v>34</v>
      </c>
      <c r="AB48">
        <f t="shared" si="10"/>
        <v>22</v>
      </c>
      <c r="AC48">
        <f t="shared" si="11"/>
        <v>0.55879999999999996</v>
      </c>
      <c r="AD48">
        <v>29.2</v>
      </c>
    </row>
    <row r="49" spans="1:30" x14ac:dyDescent="0.5">
      <c r="A49">
        <f t="shared" si="18"/>
        <v>17.25</v>
      </c>
      <c r="B49">
        <f t="shared" si="0"/>
        <v>11.25</v>
      </c>
      <c r="C49">
        <f t="shared" si="1"/>
        <v>0.28575</v>
      </c>
      <c r="D49">
        <v>29</v>
      </c>
      <c r="F49">
        <f t="shared" si="19"/>
        <v>17.25</v>
      </c>
      <c r="G49">
        <f t="shared" si="2"/>
        <v>11.25</v>
      </c>
      <c r="H49">
        <f t="shared" si="3"/>
        <v>0.28575</v>
      </c>
      <c r="I49">
        <v>28</v>
      </c>
      <c r="K49">
        <f t="shared" si="20"/>
        <v>17.25</v>
      </c>
      <c r="L49">
        <f t="shared" si="4"/>
        <v>11.25</v>
      </c>
      <c r="M49">
        <f t="shared" si="5"/>
        <v>0.28575</v>
      </c>
      <c r="N49">
        <v>28.4</v>
      </c>
      <c r="Q49">
        <f t="shared" si="15"/>
        <v>34.5</v>
      </c>
      <c r="R49">
        <f t="shared" si="6"/>
        <v>22.5</v>
      </c>
      <c r="S49">
        <f t="shared" si="7"/>
        <v>0.57150000000000001</v>
      </c>
      <c r="T49">
        <v>31.4</v>
      </c>
      <c r="V49">
        <f t="shared" si="16"/>
        <v>34.5</v>
      </c>
      <c r="W49">
        <f t="shared" si="8"/>
        <v>22.5</v>
      </c>
      <c r="X49">
        <f t="shared" si="9"/>
        <v>0.57150000000000001</v>
      </c>
      <c r="Y49">
        <v>30</v>
      </c>
      <c r="AA49">
        <f t="shared" si="17"/>
        <v>34.5</v>
      </c>
      <c r="AB49">
        <f t="shared" si="10"/>
        <v>22.5</v>
      </c>
      <c r="AC49">
        <f t="shared" si="11"/>
        <v>0.57150000000000001</v>
      </c>
      <c r="AD49">
        <v>29.8</v>
      </c>
    </row>
    <row r="50" spans="1:30" x14ac:dyDescent="0.5">
      <c r="A50">
        <f t="shared" si="18"/>
        <v>17.5</v>
      </c>
      <c r="B50">
        <f t="shared" si="0"/>
        <v>11.5</v>
      </c>
      <c r="C50">
        <f t="shared" si="1"/>
        <v>0.29209999999999997</v>
      </c>
      <c r="D50">
        <v>29.4</v>
      </c>
      <c r="F50">
        <f t="shared" si="19"/>
        <v>17.5</v>
      </c>
      <c r="G50">
        <f t="shared" si="2"/>
        <v>11.5</v>
      </c>
      <c r="H50">
        <f t="shared" si="3"/>
        <v>0.29209999999999997</v>
      </c>
      <c r="I50">
        <v>28.6</v>
      </c>
      <c r="K50">
        <f t="shared" si="20"/>
        <v>17.5</v>
      </c>
      <c r="L50">
        <f t="shared" si="4"/>
        <v>11.5</v>
      </c>
      <c r="M50">
        <f t="shared" si="5"/>
        <v>0.29209999999999997</v>
      </c>
      <c r="N50">
        <v>29</v>
      </c>
      <c r="Q50">
        <f t="shared" si="15"/>
        <v>35</v>
      </c>
      <c r="R50">
        <f t="shared" si="6"/>
        <v>23</v>
      </c>
      <c r="S50">
        <f t="shared" si="7"/>
        <v>0.58419999999999994</v>
      </c>
      <c r="T50">
        <v>31.8</v>
      </c>
      <c r="V50">
        <f t="shared" si="16"/>
        <v>35</v>
      </c>
      <c r="W50">
        <f t="shared" si="8"/>
        <v>23</v>
      </c>
      <c r="X50">
        <f t="shared" si="9"/>
        <v>0.58419999999999994</v>
      </c>
      <c r="Y50">
        <v>30.4</v>
      </c>
      <c r="AA50">
        <f t="shared" si="17"/>
        <v>35</v>
      </c>
      <c r="AB50">
        <f t="shared" si="10"/>
        <v>23</v>
      </c>
      <c r="AC50">
        <f t="shared" si="11"/>
        <v>0.58419999999999994</v>
      </c>
      <c r="AD50">
        <v>30.4</v>
      </c>
    </row>
    <row r="51" spans="1:30" x14ac:dyDescent="0.5">
      <c r="A51">
        <f t="shared" si="18"/>
        <v>17.75</v>
      </c>
      <c r="B51">
        <f t="shared" si="0"/>
        <v>11.75</v>
      </c>
      <c r="C51">
        <f t="shared" si="1"/>
        <v>0.29844999999999999</v>
      </c>
      <c r="D51">
        <v>30</v>
      </c>
      <c r="F51">
        <f t="shared" si="19"/>
        <v>17.75</v>
      </c>
      <c r="G51">
        <f t="shared" si="2"/>
        <v>11.75</v>
      </c>
      <c r="H51">
        <f t="shared" si="3"/>
        <v>0.29844999999999999</v>
      </c>
      <c r="I51">
        <v>29.2</v>
      </c>
      <c r="K51">
        <f t="shared" si="20"/>
        <v>17.75</v>
      </c>
      <c r="L51">
        <f t="shared" si="4"/>
        <v>11.75</v>
      </c>
      <c r="M51">
        <f t="shared" si="5"/>
        <v>0.29844999999999999</v>
      </c>
      <c r="N51">
        <v>29.4</v>
      </c>
      <c r="Q51">
        <f t="shared" si="15"/>
        <v>35.5</v>
      </c>
      <c r="R51">
        <f t="shared" si="6"/>
        <v>23.5</v>
      </c>
      <c r="S51">
        <f t="shared" si="7"/>
        <v>0.59689999999999999</v>
      </c>
      <c r="T51">
        <v>32.4</v>
      </c>
      <c r="V51">
        <f t="shared" si="16"/>
        <v>35.5</v>
      </c>
      <c r="W51">
        <f t="shared" si="8"/>
        <v>23.5</v>
      </c>
      <c r="X51">
        <f t="shared" si="9"/>
        <v>0.59689999999999999</v>
      </c>
      <c r="Y51">
        <v>31.2</v>
      </c>
      <c r="AA51">
        <f t="shared" si="17"/>
        <v>35.5</v>
      </c>
      <c r="AB51">
        <f t="shared" si="10"/>
        <v>23.5</v>
      </c>
      <c r="AC51">
        <f t="shared" si="11"/>
        <v>0.59689999999999999</v>
      </c>
      <c r="AD51">
        <v>31</v>
      </c>
    </row>
    <row r="52" spans="1:30" x14ac:dyDescent="0.5">
      <c r="A52">
        <f>A51+0.25</f>
        <v>18</v>
      </c>
      <c r="B52">
        <f t="shared" si="0"/>
        <v>12</v>
      </c>
      <c r="C52">
        <f t="shared" si="1"/>
        <v>0.30479999999999996</v>
      </c>
      <c r="D52">
        <v>30.2</v>
      </c>
      <c r="F52">
        <f>F51+0.25</f>
        <v>18</v>
      </c>
      <c r="G52">
        <f t="shared" si="2"/>
        <v>12</v>
      </c>
      <c r="H52">
        <f t="shared" si="3"/>
        <v>0.30479999999999996</v>
      </c>
      <c r="I52">
        <v>29.4</v>
      </c>
      <c r="K52">
        <f>K51+0.25</f>
        <v>18</v>
      </c>
      <c r="L52">
        <f t="shared" si="4"/>
        <v>12</v>
      </c>
      <c r="M52">
        <f t="shared" si="5"/>
        <v>0.30479999999999996</v>
      </c>
      <c r="N52">
        <v>29.6</v>
      </c>
      <c r="Q52">
        <f t="shared" si="15"/>
        <v>36</v>
      </c>
      <c r="R52">
        <f t="shared" si="6"/>
        <v>24</v>
      </c>
      <c r="S52">
        <f t="shared" si="7"/>
        <v>0.60959999999999992</v>
      </c>
      <c r="T52">
        <v>32.799999999999997</v>
      </c>
      <c r="V52">
        <f t="shared" si="16"/>
        <v>36</v>
      </c>
      <c r="W52">
        <f t="shared" si="8"/>
        <v>24</v>
      </c>
      <c r="X52">
        <f t="shared" si="9"/>
        <v>0.60959999999999992</v>
      </c>
      <c r="Y52">
        <v>31.8</v>
      </c>
      <c r="AA52">
        <f t="shared" si="17"/>
        <v>36</v>
      </c>
      <c r="AB52">
        <f t="shared" si="10"/>
        <v>24</v>
      </c>
      <c r="AC52">
        <f t="shared" si="11"/>
        <v>0.60959999999999992</v>
      </c>
      <c r="AD52">
        <v>31.6</v>
      </c>
    </row>
    <row r="59" spans="1:30" ht="17.100000000000001" customHeight="1" x14ac:dyDescent="0.5"/>
  </sheetData>
  <mergeCells count="2">
    <mergeCell ref="A1:B1"/>
    <mergeCell ref="Q1:R1"/>
  </mergeCells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6F84-1198-E844-9ADC-373D5976E8D2}">
  <dimension ref="A1:AD52"/>
  <sheetViews>
    <sheetView zoomScale="40" zoomScaleNormal="40" workbookViewId="0">
      <selection activeCell="H61" sqref="H61"/>
    </sheetView>
  </sheetViews>
  <sheetFormatPr defaultColWidth="11" defaultRowHeight="15.75" x14ac:dyDescent="0.5"/>
  <sheetData>
    <row r="1" spans="1:30" x14ac:dyDescent="0.5">
      <c r="A1" s="2" t="s">
        <v>9</v>
      </c>
      <c r="B1" s="2"/>
      <c r="C1" s="1"/>
      <c r="D1" s="1"/>
      <c r="Q1" s="2" t="s">
        <v>10</v>
      </c>
      <c r="R1" s="2"/>
    </row>
    <row r="2" spans="1:30" x14ac:dyDescent="0.5">
      <c r="A2" s="1"/>
      <c r="B2" s="1"/>
      <c r="C2" s="1"/>
      <c r="D2" s="1"/>
    </row>
    <row r="3" spans="1:30" x14ac:dyDescent="0.5">
      <c r="A3" t="s">
        <v>2</v>
      </c>
      <c r="B3" t="s">
        <v>3</v>
      </c>
      <c r="C3" t="s">
        <v>4</v>
      </c>
      <c r="D3" t="s">
        <v>5</v>
      </c>
      <c r="F3" t="s">
        <v>2</v>
      </c>
      <c r="G3" t="s">
        <v>3</v>
      </c>
      <c r="H3" t="s">
        <v>4</v>
      </c>
      <c r="I3" t="s">
        <v>5</v>
      </c>
      <c r="K3" t="s">
        <v>2</v>
      </c>
      <c r="L3" t="s">
        <v>3</v>
      </c>
      <c r="M3" t="s">
        <v>4</v>
      </c>
      <c r="N3" t="s">
        <v>5</v>
      </c>
      <c r="Q3" t="s">
        <v>2</v>
      </c>
      <c r="R3" t="s">
        <v>8</v>
      </c>
      <c r="S3" t="s">
        <v>4</v>
      </c>
      <c r="T3" t="s">
        <v>5</v>
      </c>
      <c r="V3" t="s">
        <v>2</v>
      </c>
      <c r="W3" t="s">
        <v>8</v>
      </c>
      <c r="X3" t="s">
        <v>4</v>
      </c>
      <c r="Y3" t="s">
        <v>5</v>
      </c>
      <c r="AA3" t="s">
        <v>2</v>
      </c>
      <c r="AB3" t="s">
        <v>8</v>
      </c>
      <c r="AC3" t="s">
        <v>4</v>
      </c>
      <c r="AD3" t="s">
        <v>5</v>
      </c>
    </row>
    <row r="4" spans="1:30" x14ac:dyDescent="0.5">
      <c r="A4">
        <v>6</v>
      </c>
      <c r="B4">
        <f>A4-6</f>
        <v>0</v>
      </c>
      <c r="C4">
        <f>B4*0.0254</f>
        <v>0</v>
      </c>
      <c r="D4">
        <v>0</v>
      </c>
      <c r="F4">
        <v>6</v>
      </c>
      <c r="G4">
        <f>F4-6</f>
        <v>0</v>
      </c>
      <c r="H4">
        <f>G4*0.0254</f>
        <v>0</v>
      </c>
      <c r="I4">
        <v>0</v>
      </c>
      <c r="K4">
        <v>6</v>
      </c>
      <c r="L4">
        <f>K4-6</f>
        <v>0</v>
      </c>
      <c r="M4">
        <f>L4*0.0254</f>
        <v>0</v>
      </c>
      <c r="N4">
        <v>0</v>
      </c>
      <c r="Q4">
        <v>12</v>
      </c>
      <c r="R4">
        <f>Q4-12</f>
        <v>0</v>
      </c>
      <c r="S4">
        <f>R4*0.0254</f>
        <v>0</v>
      </c>
      <c r="T4">
        <v>0</v>
      </c>
      <c r="V4">
        <v>12</v>
      </c>
      <c r="W4">
        <f>V4-12</f>
        <v>0</v>
      </c>
      <c r="X4">
        <f>W4*0.0254</f>
        <v>0</v>
      </c>
      <c r="Y4">
        <v>0</v>
      </c>
      <c r="AA4">
        <v>12</v>
      </c>
      <c r="AB4">
        <f>AA4-12</f>
        <v>0</v>
      </c>
      <c r="AC4">
        <f>AB4*0.0254</f>
        <v>0</v>
      </c>
      <c r="AD4">
        <v>0</v>
      </c>
    </row>
    <row r="5" spans="1:30" x14ac:dyDescent="0.5">
      <c r="A5">
        <f>A4+0.25</f>
        <v>6.25</v>
      </c>
      <c r="B5">
        <f t="shared" ref="B5:B52" si="0">A5-6</f>
        <v>0.25</v>
      </c>
      <c r="C5">
        <f t="shared" ref="C5:C52" si="1">B5*0.0254</f>
        <v>6.3499999999999997E-3</v>
      </c>
      <c r="D5">
        <v>2.8</v>
      </c>
      <c r="F5">
        <f>F4+0.25</f>
        <v>6.25</v>
      </c>
      <c r="G5">
        <f t="shared" ref="G5:G52" si="2">F5-6</f>
        <v>0.25</v>
      </c>
      <c r="H5">
        <f t="shared" ref="H5:H52" si="3">G5*0.0254</f>
        <v>6.3499999999999997E-3</v>
      </c>
      <c r="I5">
        <v>2.4</v>
      </c>
      <c r="K5">
        <f>K4+0.25</f>
        <v>6.25</v>
      </c>
      <c r="L5">
        <f t="shared" ref="L5:L52" si="4">K5-6</f>
        <v>0.25</v>
      </c>
      <c r="M5">
        <f t="shared" ref="M5:M52" si="5">L5*0.0254</f>
        <v>6.3499999999999997E-3</v>
      </c>
      <c r="N5">
        <v>2.6</v>
      </c>
      <c r="Q5">
        <f>Q4+0.5</f>
        <v>12.5</v>
      </c>
      <c r="R5">
        <f t="shared" ref="R5:R52" si="6">Q5-12</f>
        <v>0.5</v>
      </c>
      <c r="S5">
        <f t="shared" ref="S5:S52" si="7">R5*0.0254</f>
        <v>1.2699999999999999E-2</v>
      </c>
      <c r="T5">
        <v>2.6</v>
      </c>
      <c r="V5">
        <f>V4+0.5</f>
        <v>12.5</v>
      </c>
      <c r="W5">
        <f t="shared" ref="W5:W52" si="8">V5-12</f>
        <v>0.5</v>
      </c>
      <c r="X5">
        <f t="shared" ref="X5:X52" si="9">W5*0.0254</f>
        <v>1.2699999999999999E-2</v>
      </c>
      <c r="Y5">
        <v>1.8</v>
      </c>
      <c r="AA5">
        <f>AA4+0.5</f>
        <v>12.5</v>
      </c>
      <c r="AB5">
        <f t="shared" ref="AB5:AB52" si="10">AA5-12</f>
        <v>0.5</v>
      </c>
      <c r="AC5">
        <f t="shared" ref="AC5:AC52" si="11">AB5*0.0254</f>
        <v>1.2699999999999999E-2</v>
      </c>
      <c r="AD5">
        <v>2</v>
      </c>
    </row>
    <row r="6" spans="1:30" x14ac:dyDescent="0.5">
      <c r="A6">
        <f t="shared" ref="A6:A45" si="12">A5+0.25</f>
        <v>6.5</v>
      </c>
      <c r="B6">
        <f t="shared" si="0"/>
        <v>0.5</v>
      </c>
      <c r="C6">
        <f t="shared" si="1"/>
        <v>1.2699999999999999E-2</v>
      </c>
      <c r="D6">
        <v>4.5999999999999996</v>
      </c>
      <c r="F6">
        <f t="shared" ref="F6:F45" si="13">F5+0.25</f>
        <v>6.5</v>
      </c>
      <c r="G6">
        <f t="shared" si="2"/>
        <v>0.5</v>
      </c>
      <c r="H6">
        <f t="shared" si="3"/>
        <v>1.2699999999999999E-2</v>
      </c>
      <c r="I6">
        <v>3.6</v>
      </c>
      <c r="K6">
        <f t="shared" ref="K6:K45" si="14">K5+0.25</f>
        <v>6.5</v>
      </c>
      <c r="L6">
        <f t="shared" si="4"/>
        <v>0.5</v>
      </c>
      <c r="M6">
        <f t="shared" si="5"/>
        <v>1.2699999999999999E-2</v>
      </c>
      <c r="N6">
        <v>3.8</v>
      </c>
      <c r="Q6">
        <f t="shared" ref="Q6:Q52" si="15">Q5+0.5</f>
        <v>13</v>
      </c>
      <c r="R6">
        <f t="shared" si="6"/>
        <v>1</v>
      </c>
      <c r="S6">
        <f t="shared" si="7"/>
        <v>2.5399999999999999E-2</v>
      </c>
      <c r="T6">
        <v>4.8</v>
      </c>
      <c r="V6">
        <f t="shared" ref="V6:V52" si="16">V5+0.5</f>
        <v>13</v>
      </c>
      <c r="W6">
        <f t="shared" si="8"/>
        <v>1</v>
      </c>
      <c r="X6">
        <f t="shared" si="9"/>
        <v>2.5399999999999999E-2</v>
      </c>
      <c r="Y6">
        <v>3.6</v>
      </c>
      <c r="AA6">
        <f t="shared" ref="AA6:AA52" si="17">AA5+0.5</f>
        <v>13</v>
      </c>
      <c r="AB6">
        <f t="shared" si="10"/>
        <v>1</v>
      </c>
      <c r="AC6">
        <f t="shared" si="11"/>
        <v>2.5399999999999999E-2</v>
      </c>
      <c r="AD6">
        <v>3.4</v>
      </c>
    </row>
    <row r="7" spans="1:30" x14ac:dyDescent="0.5">
      <c r="A7">
        <f t="shared" si="12"/>
        <v>6.75</v>
      </c>
      <c r="B7">
        <f t="shared" si="0"/>
        <v>0.75</v>
      </c>
      <c r="C7">
        <f t="shared" si="1"/>
        <v>1.9049999999999997E-2</v>
      </c>
      <c r="D7">
        <v>5.8</v>
      </c>
      <c r="F7">
        <f t="shared" si="13"/>
        <v>6.75</v>
      </c>
      <c r="G7">
        <f t="shared" si="2"/>
        <v>0.75</v>
      </c>
      <c r="H7">
        <f t="shared" si="3"/>
        <v>1.9049999999999997E-2</v>
      </c>
      <c r="I7">
        <v>5.2</v>
      </c>
      <c r="K7">
        <f t="shared" si="14"/>
        <v>6.75</v>
      </c>
      <c r="L7">
        <f t="shared" si="4"/>
        <v>0.75</v>
      </c>
      <c r="M7">
        <f t="shared" si="5"/>
        <v>1.9049999999999997E-2</v>
      </c>
      <c r="N7">
        <v>5.4</v>
      </c>
      <c r="Q7">
        <f t="shared" si="15"/>
        <v>13.5</v>
      </c>
      <c r="R7">
        <f t="shared" si="6"/>
        <v>1.5</v>
      </c>
      <c r="S7">
        <f t="shared" si="7"/>
        <v>3.8099999999999995E-2</v>
      </c>
      <c r="T7">
        <v>6.8</v>
      </c>
      <c r="V7">
        <f t="shared" si="16"/>
        <v>13.5</v>
      </c>
      <c r="W7">
        <f t="shared" si="8"/>
        <v>1.5</v>
      </c>
      <c r="X7">
        <f t="shared" si="9"/>
        <v>3.8099999999999995E-2</v>
      </c>
      <c r="Y7">
        <v>5.2</v>
      </c>
      <c r="AA7">
        <f t="shared" si="17"/>
        <v>13.5</v>
      </c>
      <c r="AB7">
        <f t="shared" si="10"/>
        <v>1.5</v>
      </c>
      <c r="AC7">
        <f t="shared" si="11"/>
        <v>3.8099999999999995E-2</v>
      </c>
      <c r="AD7">
        <v>5.4</v>
      </c>
    </row>
    <row r="8" spans="1:30" x14ac:dyDescent="0.5">
      <c r="A8">
        <f t="shared" si="12"/>
        <v>7</v>
      </c>
      <c r="B8">
        <f t="shared" si="0"/>
        <v>1</v>
      </c>
      <c r="C8">
        <f t="shared" si="1"/>
        <v>2.5399999999999999E-2</v>
      </c>
      <c r="D8">
        <v>7.4</v>
      </c>
      <c r="F8">
        <f t="shared" si="13"/>
        <v>7</v>
      </c>
      <c r="G8">
        <f t="shared" si="2"/>
        <v>1</v>
      </c>
      <c r="H8">
        <f t="shared" si="3"/>
        <v>2.5399999999999999E-2</v>
      </c>
      <c r="I8">
        <v>6.4</v>
      </c>
      <c r="K8">
        <f t="shared" si="14"/>
        <v>7</v>
      </c>
      <c r="L8">
        <f t="shared" si="4"/>
        <v>1</v>
      </c>
      <c r="M8">
        <f t="shared" si="5"/>
        <v>2.5399999999999999E-2</v>
      </c>
      <c r="N8">
        <v>7</v>
      </c>
      <c r="Q8">
        <f t="shared" si="15"/>
        <v>14</v>
      </c>
      <c r="R8">
        <f t="shared" si="6"/>
        <v>2</v>
      </c>
      <c r="S8">
        <f t="shared" si="7"/>
        <v>5.0799999999999998E-2</v>
      </c>
      <c r="T8">
        <v>9</v>
      </c>
      <c r="V8">
        <f t="shared" si="16"/>
        <v>14</v>
      </c>
      <c r="W8">
        <f t="shared" si="8"/>
        <v>2</v>
      </c>
      <c r="X8">
        <f t="shared" si="9"/>
        <v>5.0799999999999998E-2</v>
      </c>
      <c r="Y8">
        <v>6.4</v>
      </c>
      <c r="AA8">
        <f t="shared" si="17"/>
        <v>14</v>
      </c>
      <c r="AB8">
        <f t="shared" si="10"/>
        <v>2</v>
      </c>
      <c r="AC8">
        <f t="shared" si="11"/>
        <v>5.0799999999999998E-2</v>
      </c>
      <c r="AD8">
        <v>7</v>
      </c>
    </row>
    <row r="9" spans="1:30" x14ac:dyDescent="0.5">
      <c r="A9">
        <f t="shared" si="12"/>
        <v>7.25</v>
      </c>
      <c r="B9">
        <f t="shared" si="0"/>
        <v>1.25</v>
      </c>
      <c r="C9">
        <f t="shared" si="1"/>
        <v>3.175E-2</v>
      </c>
      <c r="D9">
        <v>8.8000000000000007</v>
      </c>
      <c r="F9">
        <f t="shared" si="13"/>
        <v>7.25</v>
      </c>
      <c r="G9">
        <f t="shared" si="2"/>
        <v>1.25</v>
      </c>
      <c r="H9">
        <f t="shared" si="3"/>
        <v>3.175E-2</v>
      </c>
      <c r="I9">
        <v>7.8</v>
      </c>
      <c r="K9">
        <f t="shared" si="14"/>
        <v>7.25</v>
      </c>
      <c r="L9">
        <f t="shared" si="4"/>
        <v>1.25</v>
      </c>
      <c r="M9">
        <f t="shared" si="5"/>
        <v>3.175E-2</v>
      </c>
      <c r="N9">
        <v>8.4</v>
      </c>
      <c r="Q9">
        <f t="shared" si="15"/>
        <v>14.5</v>
      </c>
      <c r="R9">
        <f t="shared" si="6"/>
        <v>2.5</v>
      </c>
      <c r="S9">
        <f t="shared" si="7"/>
        <v>6.3500000000000001E-2</v>
      </c>
      <c r="T9">
        <v>10</v>
      </c>
      <c r="V9">
        <f t="shared" si="16"/>
        <v>14.5</v>
      </c>
      <c r="W9">
        <f t="shared" si="8"/>
        <v>2.5</v>
      </c>
      <c r="X9">
        <f t="shared" si="9"/>
        <v>6.3500000000000001E-2</v>
      </c>
      <c r="Y9">
        <v>7.8</v>
      </c>
      <c r="AA9">
        <f t="shared" si="17"/>
        <v>14.5</v>
      </c>
      <c r="AB9">
        <f t="shared" si="10"/>
        <v>2.5</v>
      </c>
      <c r="AC9">
        <f t="shared" si="11"/>
        <v>6.3500000000000001E-2</v>
      </c>
      <c r="AD9">
        <v>8.1999999999999993</v>
      </c>
    </row>
    <row r="10" spans="1:30" x14ac:dyDescent="0.5">
      <c r="A10">
        <f t="shared" si="12"/>
        <v>7.5</v>
      </c>
      <c r="B10">
        <f t="shared" si="0"/>
        <v>1.5</v>
      </c>
      <c r="C10">
        <f t="shared" si="1"/>
        <v>3.8099999999999995E-2</v>
      </c>
      <c r="D10">
        <v>10</v>
      </c>
      <c r="F10">
        <f t="shared" si="13"/>
        <v>7.5</v>
      </c>
      <c r="G10">
        <f t="shared" si="2"/>
        <v>1.5</v>
      </c>
      <c r="H10">
        <f t="shared" si="3"/>
        <v>3.8099999999999995E-2</v>
      </c>
      <c r="I10">
        <v>8.8000000000000007</v>
      </c>
      <c r="K10">
        <f t="shared" si="14"/>
        <v>7.5</v>
      </c>
      <c r="L10">
        <f t="shared" si="4"/>
        <v>1.5</v>
      </c>
      <c r="M10">
        <f t="shared" si="5"/>
        <v>3.8099999999999995E-2</v>
      </c>
      <c r="N10">
        <v>9.4</v>
      </c>
      <c r="Q10">
        <f t="shared" si="15"/>
        <v>15</v>
      </c>
      <c r="R10">
        <f t="shared" si="6"/>
        <v>3</v>
      </c>
      <c r="S10">
        <f t="shared" si="7"/>
        <v>7.619999999999999E-2</v>
      </c>
      <c r="T10">
        <v>11.4</v>
      </c>
      <c r="V10">
        <f t="shared" si="16"/>
        <v>15</v>
      </c>
      <c r="W10">
        <f t="shared" si="8"/>
        <v>3</v>
      </c>
      <c r="X10">
        <f t="shared" si="9"/>
        <v>7.619999999999999E-2</v>
      </c>
      <c r="Y10">
        <v>9</v>
      </c>
      <c r="AA10">
        <f t="shared" si="17"/>
        <v>15</v>
      </c>
      <c r="AB10">
        <f t="shared" si="10"/>
        <v>3</v>
      </c>
      <c r="AC10">
        <f t="shared" si="11"/>
        <v>7.619999999999999E-2</v>
      </c>
      <c r="AD10">
        <v>9.4</v>
      </c>
    </row>
    <row r="11" spans="1:30" x14ac:dyDescent="0.5">
      <c r="A11">
        <f t="shared" si="12"/>
        <v>7.75</v>
      </c>
      <c r="B11">
        <f t="shared" si="0"/>
        <v>1.75</v>
      </c>
      <c r="C11">
        <f t="shared" si="1"/>
        <v>4.4449999999999996E-2</v>
      </c>
      <c r="D11">
        <v>11.2</v>
      </c>
      <c r="F11">
        <f t="shared" si="13"/>
        <v>7.75</v>
      </c>
      <c r="G11">
        <f t="shared" si="2"/>
        <v>1.75</v>
      </c>
      <c r="H11">
        <f t="shared" si="3"/>
        <v>4.4449999999999996E-2</v>
      </c>
      <c r="I11">
        <v>10</v>
      </c>
      <c r="K11">
        <f t="shared" si="14"/>
        <v>7.75</v>
      </c>
      <c r="L11">
        <f t="shared" si="4"/>
        <v>1.75</v>
      </c>
      <c r="M11">
        <f t="shared" si="5"/>
        <v>4.4449999999999996E-2</v>
      </c>
      <c r="N11">
        <v>10.6</v>
      </c>
      <c r="Q11">
        <f t="shared" si="15"/>
        <v>15.5</v>
      </c>
      <c r="R11">
        <f t="shared" si="6"/>
        <v>3.5</v>
      </c>
      <c r="S11">
        <f t="shared" si="7"/>
        <v>8.8899999999999993E-2</v>
      </c>
      <c r="T11">
        <v>12.6</v>
      </c>
      <c r="V11">
        <f t="shared" si="16"/>
        <v>15.5</v>
      </c>
      <c r="W11">
        <f t="shared" si="8"/>
        <v>3.5</v>
      </c>
      <c r="X11">
        <f t="shared" si="9"/>
        <v>8.8899999999999993E-2</v>
      </c>
      <c r="Y11">
        <v>10.4</v>
      </c>
      <c r="AA11">
        <f t="shared" si="17"/>
        <v>15.5</v>
      </c>
      <c r="AB11">
        <f t="shared" si="10"/>
        <v>3.5</v>
      </c>
      <c r="AC11">
        <f t="shared" si="11"/>
        <v>8.8899999999999993E-2</v>
      </c>
      <c r="AD11">
        <v>10.6</v>
      </c>
    </row>
    <row r="12" spans="1:30" x14ac:dyDescent="0.5">
      <c r="A12">
        <f t="shared" si="12"/>
        <v>8</v>
      </c>
      <c r="B12">
        <f t="shared" si="0"/>
        <v>2</v>
      </c>
      <c r="C12">
        <f t="shared" si="1"/>
        <v>5.0799999999999998E-2</v>
      </c>
      <c r="D12">
        <v>12.2</v>
      </c>
      <c r="F12">
        <f t="shared" si="13"/>
        <v>8</v>
      </c>
      <c r="G12">
        <f t="shared" si="2"/>
        <v>2</v>
      </c>
      <c r="H12">
        <f t="shared" si="3"/>
        <v>5.0799999999999998E-2</v>
      </c>
      <c r="I12">
        <v>10.8</v>
      </c>
      <c r="K12">
        <f t="shared" si="14"/>
        <v>8</v>
      </c>
      <c r="L12">
        <f t="shared" si="4"/>
        <v>2</v>
      </c>
      <c r="M12">
        <f t="shared" si="5"/>
        <v>5.0799999999999998E-2</v>
      </c>
      <c r="N12">
        <v>11.4</v>
      </c>
      <c r="Q12">
        <f t="shared" si="15"/>
        <v>16</v>
      </c>
      <c r="R12">
        <f t="shared" si="6"/>
        <v>4</v>
      </c>
      <c r="S12">
        <f t="shared" si="7"/>
        <v>0.1016</v>
      </c>
      <c r="T12">
        <v>13.6</v>
      </c>
      <c r="V12">
        <f t="shared" si="16"/>
        <v>16</v>
      </c>
      <c r="W12">
        <f t="shared" si="8"/>
        <v>4</v>
      </c>
      <c r="X12">
        <f t="shared" si="9"/>
        <v>0.1016</v>
      </c>
      <c r="Y12">
        <v>11.2</v>
      </c>
      <c r="AA12">
        <f t="shared" si="17"/>
        <v>16</v>
      </c>
      <c r="AB12">
        <f t="shared" si="10"/>
        <v>4</v>
      </c>
      <c r="AC12">
        <f t="shared" si="11"/>
        <v>0.1016</v>
      </c>
      <c r="AD12">
        <v>11.8</v>
      </c>
    </row>
    <row r="13" spans="1:30" x14ac:dyDescent="0.5">
      <c r="A13">
        <f t="shared" si="12"/>
        <v>8.25</v>
      </c>
      <c r="B13">
        <f t="shared" si="0"/>
        <v>2.25</v>
      </c>
      <c r="C13">
        <f t="shared" si="1"/>
        <v>5.7149999999999999E-2</v>
      </c>
      <c r="D13">
        <v>13.2</v>
      </c>
      <c r="F13">
        <f t="shared" si="13"/>
        <v>8.25</v>
      </c>
      <c r="G13">
        <f t="shared" si="2"/>
        <v>2.25</v>
      </c>
      <c r="H13">
        <f t="shared" si="3"/>
        <v>5.7149999999999999E-2</v>
      </c>
      <c r="I13">
        <v>11.8</v>
      </c>
      <c r="K13">
        <f t="shared" si="14"/>
        <v>8.25</v>
      </c>
      <c r="L13">
        <f t="shared" si="4"/>
        <v>2.25</v>
      </c>
      <c r="M13">
        <f t="shared" si="5"/>
        <v>5.7149999999999999E-2</v>
      </c>
      <c r="N13">
        <v>12.4</v>
      </c>
      <c r="Q13">
        <f t="shared" si="15"/>
        <v>16.5</v>
      </c>
      <c r="R13">
        <f t="shared" si="6"/>
        <v>4.5</v>
      </c>
      <c r="S13">
        <f t="shared" si="7"/>
        <v>0.1143</v>
      </c>
      <c r="T13">
        <v>14.8</v>
      </c>
      <c r="V13">
        <f t="shared" si="16"/>
        <v>16.5</v>
      </c>
      <c r="W13">
        <f t="shared" si="8"/>
        <v>4.5</v>
      </c>
      <c r="X13">
        <f t="shared" si="9"/>
        <v>0.1143</v>
      </c>
      <c r="Y13">
        <v>12</v>
      </c>
      <c r="AA13">
        <f t="shared" si="17"/>
        <v>16.5</v>
      </c>
      <c r="AB13">
        <f t="shared" si="10"/>
        <v>4.5</v>
      </c>
      <c r="AC13">
        <f t="shared" si="11"/>
        <v>0.1143</v>
      </c>
      <c r="AD13">
        <v>12.6</v>
      </c>
    </row>
    <row r="14" spans="1:30" x14ac:dyDescent="0.5">
      <c r="A14">
        <f t="shared" si="12"/>
        <v>8.5</v>
      </c>
      <c r="B14">
        <f t="shared" si="0"/>
        <v>2.5</v>
      </c>
      <c r="C14">
        <f t="shared" si="1"/>
        <v>6.3500000000000001E-2</v>
      </c>
      <c r="D14">
        <v>14.4</v>
      </c>
      <c r="F14">
        <f t="shared" si="13"/>
        <v>8.5</v>
      </c>
      <c r="G14">
        <f t="shared" si="2"/>
        <v>2.5</v>
      </c>
      <c r="H14">
        <f t="shared" si="3"/>
        <v>6.3500000000000001E-2</v>
      </c>
      <c r="I14">
        <v>12.2</v>
      </c>
      <c r="K14">
        <f t="shared" si="14"/>
        <v>8.5</v>
      </c>
      <c r="L14">
        <f t="shared" si="4"/>
        <v>2.5</v>
      </c>
      <c r="M14">
        <f t="shared" si="5"/>
        <v>6.3500000000000001E-2</v>
      </c>
      <c r="N14">
        <v>13</v>
      </c>
      <c r="Q14">
        <f t="shared" si="15"/>
        <v>17</v>
      </c>
      <c r="R14">
        <f t="shared" si="6"/>
        <v>5</v>
      </c>
      <c r="S14">
        <f t="shared" si="7"/>
        <v>0.127</v>
      </c>
      <c r="T14">
        <v>15.8</v>
      </c>
      <c r="V14">
        <f t="shared" si="16"/>
        <v>17</v>
      </c>
      <c r="W14">
        <f t="shared" si="8"/>
        <v>5</v>
      </c>
      <c r="X14">
        <f t="shared" si="9"/>
        <v>0.127</v>
      </c>
      <c r="Y14">
        <v>13.2</v>
      </c>
      <c r="AA14">
        <f t="shared" si="17"/>
        <v>17</v>
      </c>
      <c r="AB14">
        <f t="shared" si="10"/>
        <v>5</v>
      </c>
      <c r="AC14">
        <f t="shared" si="11"/>
        <v>0.127</v>
      </c>
      <c r="AD14">
        <v>13.6</v>
      </c>
    </row>
    <row r="15" spans="1:30" x14ac:dyDescent="0.5">
      <c r="A15">
        <f t="shared" si="12"/>
        <v>8.75</v>
      </c>
      <c r="B15">
        <f t="shared" si="0"/>
        <v>2.75</v>
      </c>
      <c r="C15">
        <f t="shared" si="1"/>
        <v>6.9849999999999995E-2</v>
      </c>
      <c r="D15">
        <v>15.2</v>
      </c>
      <c r="F15">
        <f t="shared" si="13"/>
        <v>8.75</v>
      </c>
      <c r="G15">
        <f t="shared" si="2"/>
        <v>2.75</v>
      </c>
      <c r="H15">
        <f t="shared" si="3"/>
        <v>6.9849999999999995E-2</v>
      </c>
      <c r="I15">
        <v>13.6</v>
      </c>
      <c r="K15">
        <f t="shared" si="14"/>
        <v>8.75</v>
      </c>
      <c r="L15">
        <f t="shared" si="4"/>
        <v>2.75</v>
      </c>
      <c r="M15">
        <f t="shared" si="5"/>
        <v>6.9849999999999995E-2</v>
      </c>
      <c r="N15">
        <v>13.8</v>
      </c>
      <c r="Q15">
        <f t="shared" si="15"/>
        <v>17.5</v>
      </c>
      <c r="R15">
        <f t="shared" si="6"/>
        <v>5.5</v>
      </c>
      <c r="S15">
        <f t="shared" si="7"/>
        <v>0.13969999999999999</v>
      </c>
      <c r="T15">
        <v>16.600000000000001</v>
      </c>
      <c r="V15">
        <f t="shared" si="16"/>
        <v>17.5</v>
      </c>
      <c r="W15">
        <f t="shared" si="8"/>
        <v>5.5</v>
      </c>
      <c r="X15">
        <f t="shared" si="9"/>
        <v>0.13969999999999999</v>
      </c>
      <c r="Y15">
        <v>13.8</v>
      </c>
      <c r="AA15">
        <f t="shared" si="17"/>
        <v>17.5</v>
      </c>
      <c r="AB15">
        <f t="shared" si="10"/>
        <v>5.5</v>
      </c>
      <c r="AC15">
        <f t="shared" si="11"/>
        <v>0.13969999999999999</v>
      </c>
      <c r="AD15">
        <v>14.4</v>
      </c>
    </row>
    <row r="16" spans="1:30" x14ac:dyDescent="0.5">
      <c r="A16">
        <f t="shared" si="12"/>
        <v>9</v>
      </c>
      <c r="B16">
        <f t="shared" si="0"/>
        <v>3</v>
      </c>
      <c r="C16">
        <f t="shared" si="1"/>
        <v>7.619999999999999E-2</v>
      </c>
      <c r="D16">
        <v>16</v>
      </c>
      <c r="F16">
        <f t="shared" si="13"/>
        <v>9</v>
      </c>
      <c r="G16">
        <f t="shared" si="2"/>
        <v>3</v>
      </c>
      <c r="H16">
        <f t="shared" si="3"/>
        <v>7.619999999999999E-2</v>
      </c>
      <c r="I16">
        <v>13.8</v>
      </c>
      <c r="K16">
        <f t="shared" si="14"/>
        <v>9</v>
      </c>
      <c r="L16">
        <f t="shared" si="4"/>
        <v>3</v>
      </c>
      <c r="M16">
        <f t="shared" si="5"/>
        <v>7.619999999999999E-2</v>
      </c>
      <c r="N16">
        <v>14.4</v>
      </c>
      <c r="Q16">
        <f t="shared" si="15"/>
        <v>18</v>
      </c>
      <c r="R16">
        <f t="shared" si="6"/>
        <v>6</v>
      </c>
      <c r="S16">
        <f t="shared" si="7"/>
        <v>0.15239999999999998</v>
      </c>
      <c r="T16">
        <v>17.399999999999999</v>
      </c>
      <c r="V16">
        <f t="shared" si="16"/>
        <v>18</v>
      </c>
      <c r="W16">
        <f t="shared" si="8"/>
        <v>6</v>
      </c>
      <c r="X16">
        <f t="shared" si="9"/>
        <v>0.15239999999999998</v>
      </c>
      <c r="Y16">
        <v>14.8</v>
      </c>
      <c r="AA16">
        <f t="shared" si="17"/>
        <v>18</v>
      </c>
      <c r="AB16">
        <f t="shared" si="10"/>
        <v>6</v>
      </c>
      <c r="AC16">
        <f t="shared" si="11"/>
        <v>0.15239999999999998</v>
      </c>
      <c r="AD16">
        <v>15.4</v>
      </c>
    </row>
    <row r="17" spans="1:30" x14ac:dyDescent="0.5">
      <c r="A17">
        <f t="shared" si="12"/>
        <v>9.25</v>
      </c>
      <c r="B17">
        <f t="shared" si="0"/>
        <v>3.25</v>
      </c>
      <c r="C17">
        <f t="shared" si="1"/>
        <v>8.2549999999999998E-2</v>
      </c>
      <c r="D17">
        <v>16.600000000000001</v>
      </c>
      <c r="F17">
        <f t="shared" si="13"/>
        <v>9.25</v>
      </c>
      <c r="G17">
        <f t="shared" si="2"/>
        <v>3.25</v>
      </c>
      <c r="H17">
        <f t="shared" si="3"/>
        <v>8.2549999999999998E-2</v>
      </c>
      <c r="I17">
        <v>15</v>
      </c>
      <c r="K17">
        <f t="shared" si="14"/>
        <v>9.25</v>
      </c>
      <c r="L17">
        <f t="shared" si="4"/>
        <v>3.25</v>
      </c>
      <c r="M17">
        <f t="shared" si="5"/>
        <v>8.2549999999999998E-2</v>
      </c>
      <c r="N17">
        <v>15.4</v>
      </c>
      <c r="Q17">
        <f t="shared" si="15"/>
        <v>18.5</v>
      </c>
      <c r="R17">
        <f t="shared" si="6"/>
        <v>6.5</v>
      </c>
      <c r="S17">
        <f t="shared" si="7"/>
        <v>0.1651</v>
      </c>
      <c r="T17">
        <v>18.2</v>
      </c>
      <c r="V17">
        <f t="shared" si="16"/>
        <v>18.5</v>
      </c>
      <c r="W17">
        <f t="shared" si="8"/>
        <v>6.5</v>
      </c>
      <c r="X17">
        <f t="shared" si="9"/>
        <v>0.1651</v>
      </c>
      <c r="Y17">
        <v>15.4</v>
      </c>
      <c r="AA17">
        <f t="shared" si="17"/>
        <v>18.5</v>
      </c>
      <c r="AB17">
        <f t="shared" si="10"/>
        <v>6.5</v>
      </c>
      <c r="AC17">
        <f t="shared" si="11"/>
        <v>0.1651</v>
      </c>
      <c r="AD17">
        <v>16</v>
      </c>
    </row>
    <row r="18" spans="1:30" x14ac:dyDescent="0.5">
      <c r="A18">
        <f t="shared" si="12"/>
        <v>9.5</v>
      </c>
      <c r="B18">
        <f t="shared" si="0"/>
        <v>3.5</v>
      </c>
      <c r="C18">
        <f t="shared" si="1"/>
        <v>8.8899999999999993E-2</v>
      </c>
      <c r="D18">
        <v>17.399999999999999</v>
      </c>
      <c r="F18">
        <f t="shared" si="13"/>
        <v>9.5</v>
      </c>
      <c r="G18">
        <f t="shared" si="2"/>
        <v>3.5</v>
      </c>
      <c r="H18">
        <f t="shared" si="3"/>
        <v>8.8899999999999993E-2</v>
      </c>
      <c r="I18">
        <v>15.6</v>
      </c>
      <c r="K18">
        <f t="shared" si="14"/>
        <v>9.5</v>
      </c>
      <c r="L18">
        <f t="shared" si="4"/>
        <v>3.5</v>
      </c>
      <c r="M18">
        <f t="shared" si="5"/>
        <v>8.8899999999999993E-2</v>
      </c>
      <c r="N18">
        <v>16</v>
      </c>
      <c r="Q18">
        <f t="shared" si="15"/>
        <v>19</v>
      </c>
      <c r="R18">
        <f t="shared" si="6"/>
        <v>7</v>
      </c>
      <c r="S18">
        <f t="shared" si="7"/>
        <v>0.17779999999999999</v>
      </c>
      <c r="T18">
        <v>19</v>
      </c>
      <c r="V18">
        <f t="shared" si="16"/>
        <v>19</v>
      </c>
      <c r="W18">
        <f t="shared" si="8"/>
        <v>7</v>
      </c>
      <c r="X18">
        <f t="shared" si="9"/>
        <v>0.17779999999999999</v>
      </c>
      <c r="Y18">
        <v>15.6</v>
      </c>
      <c r="AA18">
        <f t="shared" si="17"/>
        <v>19</v>
      </c>
      <c r="AB18">
        <f t="shared" si="10"/>
        <v>7</v>
      </c>
      <c r="AC18">
        <f t="shared" si="11"/>
        <v>0.17779999999999999</v>
      </c>
      <c r="AD18">
        <v>17</v>
      </c>
    </row>
    <row r="19" spans="1:30" x14ac:dyDescent="0.5">
      <c r="A19">
        <f t="shared" si="12"/>
        <v>9.75</v>
      </c>
      <c r="B19">
        <f t="shared" si="0"/>
        <v>3.75</v>
      </c>
      <c r="C19">
        <f t="shared" si="1"/>
        <v>9.5250000000000001E-2</v>
      </c>
      <c r="D19">
        <v>18.2</v>
      </c>
      <c r="F19">
        <f t="shared" si="13"/>
        <v>9.75</v>
      </c>
      <c r="G19">
        <f t="shared" si="2"/>
        <v>3.75</v>
      </c>
      <c r="H19">
        <f t="shared" si="3"/>
        <v>9.5250000000000001E-2</v>
      </c>
      <c r="I19">
        <v>16.399999999999999</v>
      </c>
      <c r="K19">
        <f t="shared" si="14"/>
        <v>9.75</v>
      </c>
      <c r="L19">
        <f t="shared" si="4"/>
        <v>3.75</v>
      </c>
      <c r="M19">
        <f t="shared" si="5"/>
        <v>9.5250000000000001E-2</v>
      </c>
      <c r="N19">
        <v>17</v>
      </c>
      <c r="Q19">
        <f t="shared" si="15"/>
        <v>19.5</v>
      </c>
      <c r="R19">
        <f t="shared" si="6"/>
        <v>7.5</v>
      </c>
      <c r="S19">
        <f>R19*0.0254</f>
        <v>0.1905</v>
      </c>
      <c r="T19">
        <v>19.2</v>
      </c>
      <c r="V19">
        <f t="shared" si="16"/>
        <v>19.5</v>
      </c>
      <c r="W19">
        <f t="shared" si="8"/>
        <v>7.5</v>
      </c>
      <c r="X19">
        <f>W19*0.0254</f>
        <v>0.1905</v>
      </c>
      <c r="Y19">
        <v>16.8</v>
      </c>
      <c r="AA19">
        <f t="shared" si="17"/>
        <v>19.5</v>
      </c>
      <c r="AB19">
        <f t="shared" si="10"/>
        <v>7.5</v>
      </c>
      <c r="AC19">
        <f>AB19*0.0254</f>
        <v>0.1905</v>
      </c>
      <c r="AD19">
        <v>17.600000000000001</v>
      </c>
    </row>
    <row r="20" spans="1:30" x14ac:dyDescent="0.5">
      <c r="A20">
        <f t="shared" si="12"/>
        <v>10</v>
      </c>
      <c r="B20">
        <f t="shared" si="0"/>
        <v>4</v>
      </c>
      <c r="C20">
        <f t="shared" si="1"/>
        <v>0.1016</v>
      </c>
      <c r="D20">
        <v>18.8</v>
      </c>
      <c r="F20">
        <f t="shared" si="13"/>
        <v>10</v>
      </c>
      <c r="G20">
        <f t="shared" si="2"/>
        <v>4</v>
      </c>
      <c r="H20">
        <f t="shared" si="3"/>
        <v>0.1016</v>
      </c>
      <c r="I20">
        <v>17.2</v>
      </c>
      <c r="K20">
        <f t="shared" si="14"/>
        <v>10</v>
      </c>
      <c r="L20">
        <f t="shared" si="4"/>
        <v>4</v>
      </c>
      <c r="M20">
        <f t="shared" si="5"/>
        <v>0.1016</v>
      </c>
      <c r="N20">
        <v>17.600000000000001</v>
      </c>
      <c r="Q20">
        <f t="shared" si="15"/>
        <v>20</v>
      </c>
      <c r="R20">
        <f t="shared" si="6"/>
        <v>8</v>
      </c>
      <c r="S20">
        <f t="shared" si="7"/>
        <v>0.20319999999999999</v>
      </c>
      <c r="T20">
        <v>20.2</v>
      </c>
      <c r="V20">
        <f t="shared" si="16"/>
        <v>20</v>
      </c>
      <c r="W20">
        <f t="shared" si="8"/>
        <v>8</v>
      </c>
      <c r="X20">
        <f t="shared" si="9"/>
        <v>0.20319999999999999</v>
      </c>
      <c r="Y20">
        <v>17.600000000000001</v>
      </c>
      <c r="AA20">
        <f t="shared" si="17"/>
        <v>20</v>
      </c>
      <c r="AB20">
        <f t="shared" si="10"/>
        <v>8</v>
      </c>
      <c r="AC20">
        <f t="shared" si="11"/>
        <v>0.20319999999999999</v>
      </c>
      <c r="AD20">
        <v>18</v>
      </c>
    </row>
    <row r="21" spans="1:30" x14ac:dyDescent="0.5">
      <c r="A21">
        <f t="shared" si="12"/>
        <v>10.25</v>
      </c>
      <c r="B21">
        <f t="shared" si="0"/>
        <v>4.25</v>
      </c>
      <c r="C21">
        <f t="shared" si="1"/>
        <v>0.10794999999999999</v>
      </c>
      <c r="D21">
        <v>19.399999999999999</v>
      </c>
      <c r="F21">
        <f t="shared" si="13"/>
        <v>10.25</v>
      </c>
      <c r="G21">
        <f t="shared" si="2"/>
        <v>4.25</v>
      </c>
      <c r="H21">
        <f t="shared" si="3"/>
        <v>0.10794999999999999</v>
      </c>
      <c r="I21">
        <v>17.399999999999999</v>
      </c>
      <c r="K21">
        <f t="shared" si="14"/>
        <v>10.25</v>
      </c>
      <c r="L21">
        <f t="shared" si="4"/>
        <v>4.25</v>
      </c>
      <c r="M21">
        <f t="shared" si="5"/>
        <v>0.10794999999999999</v>
      </c>
      <c r="N21">
        <v>17.8</v>
      </c>
      <c r="Q21">
        <f t="shared" si="15"/>
        <v>20.5</v>
      </c>
      <c r="R21">
        <f t="shared" si="6"/>
        <v>8.5</v>
      </c>
      <c r="S21">
        <f t="shared" si="7"/>
        <v>0.21589999999999998</v>
      </c>
      <c r="T21">
        <v>21</v>
      </c>
      <c r="V21">
        <f t="shared" si="16"/>
        <v>20.5</v>
      </c>
      <c r="W21">
        <f t="shared" si="8"/>
        <v>8.5</v>
      </c>
      <c r="X21">
        <f t="shared" si="9"/>
        <v>0.21589999999999998</v>
      </c>
      <c r="Y21">
        <v>17.8</v>
      </c>
      <c r="AA21">
        <f t="shared" si="17"/>
        <v>20.5</v>
      </c>
      <c r="AB21">
        <f t="shared" si="10"/>
        <v>8.5</v>
      </c>
      <c r="AC21">
        <f t="shared" si="11"/>
        <v>0.21589999999999998</v>
      </c>
      <c r="AD21">
        <v>18.8</v>
      </c>
    </row>
    <row r="22" spans="1:30" x14ac:dyDescent="0.5">
      <c r="A22">
        <f t="shared" si="12"/>
        <v>10.5</v>
      </c>
      <c r="B22">
        <f t="shared" si="0"/>
        <v>4.5</v>
      </c>
      <c r="C22">
        <f t="shared" si="1"/>
        <v>0.1143</v>
      </c>
      <c r="D22">
        <v>19.8</v>
      </c>
      <c r="F22">
        <f t="shared" si="13"/>
        <v>10.5</v>
      </c>
      <c r="G22">
        <f t="shared" si="2"/>
        <v>4.5</v>
      </c>
      <c r="H22">
        <f t="shared" si="3"/>
        <v>0.1143</v>
      </c>
      <c r="I22">
        <v>18</v>
      </c>
      <c r="K22">
        <f t="shared" si="14"/>
        <v>10.5</v>
      </c>
      <c r="L22">
        <f t="shared" si="4"/>
        <v>4.5</v>
      </c>
      <c r="M22">
        <f t="shared" si="5"/>
        <v>0.1143</v>
      </c>
      <c r="N22">
        <v>18.600000000000001</v>
      </c>
      <c r="Q22">
        <f t="shared" si="15"/>
        <v>21</v>
      </c>
      <c r="R22">
        <f t="shared" si="6"/>
        <v>9</v>
      </c>
      <c r="S22">
        <f t="shared" si="7"/>
        <v>0.2286</v>
      </c>
      <c r="T22">
        <v>21.6</v>
      </c>
      <c r="V22">
        <f t="shared" si="16"/>
        <v>21</v>
      </c>
      <c r="W22">
        <f t="shared" si="8"/>
        <v>9</v>
      </c>
      <c r="X22">
        <f t="shared" si="9"/>
        <v>0.2286</v>
      </c>
      <c r="Y22">
        <v>18.399999999999999</v>
      </c>
      <c r="AA22">
        <f t="shared" si="17"/>
        <v>21</v>
      </c>
      <c r="AB22">
        <f t="shared" si="10"/>
        <v>9</v>
      </c>
      <c r="AC22">
        <f t="shared" si="11"/>
        <v>0.2286</v>
      </c>
      <c r="AD22">
        <v>19.2</v>
      </c>
    </row>
    <row r="23" spans="1:30" x14ac:dyDescent="0.5">
      <c r="A23">
        <f t="shared" si="12"/>
        <v>10.75</v>
      </c>
      <c r="B23">
        <f t="shared" si="0"/>
        <v>4.75</v>
      </c>
      <c r="C23">
        <f t="shared" si="1"/>
        <v>0.12064999999999999</v>
      </c>
      <c r="D23">
        <v>20.6</v>
      </c>
      <c r="F23">
        <f t="shared" si="13"/>
        <v>10.75</v>
      </c>
      <c r="G23">
        <f t="shared" si="2"/>
        <v>4.75</v>
      </c>
      <c r="H23">
        <f t="shared" si="3"/>
        <v>0.12064999999999999</v>
      </c>
      <c r="I23">
        <v>18.8</v>
      </c>
      <c r="K23">
        <f t="shared" si="14"/>
        <v>10.75</v>
      </c>
      <c r="L23">
        <f t="shared" si="4"/>
        <v>4.75</v>
      </c>
      <c r="M23">
        <f t="shared" si="5"/>
        <v>0.12064999999999999</v>
      </c>
      <c r="N23">
        <v>19.2</v>
      </c>
      <c r="Q23">
        <f t="shared" si="15"/>
        <v>21.5</v>
      </c>
      <c r="R23">
        <f t="shared" si="6"/>
        <v>9.5</v>
      </c>
      <c r="S23">
        <f t="shared" si="7"/>
        <v>0.24129999999999999</v>
      </c>
      <c r="T23">
        <v>22.2</v>
      </c>
      <c r="V23">
        <f t="shared" si="16"/>
        <v>21.5</v>
      </c>
      <c r="W23">
        <f t="shared" si="8"/>
        <v>9.5</v>
      </c>
      <c r="X23">
        <f t="shared" si="9"/>
        <v>0.24129999999999999</v>
      </c>
      <c r="Y23">
        <v>19.2</v>
      </c>
      <c r="AA23">
        <f t="shared" si="17"/>
        <v>21.5</v>
      </c>
      <c r="AB23">
        <f t="shared" si="10"/>
        <v>9.5</v>
      </c>
      <c r="AC23">
        <f t="shared" si="11"/>
        <v>0.24129999999999999</v>
      </c>
      <c r="AD23">
        <v>20.2</v>
      </c>
    </row>
    <row r="24" spans="1:30" x14ac:dyDescent="0.5">
      <c r="A24">
        <f t="shared" si="12"/>
        <v>11</v>
      </c>
      <c r="B24">
        <f t="shared" si="0"/>
        <v>5</v>
      </c>
      <c r="C24">
        <f t="shared" si="1"/>
        <v>0.127</v>
      </c>
      <c r="D24">
        <v>21</v>
      </c>
      <c r="F24">
        <f t="shared" si="13"/>
        <v>11</v>
      </c>
      <c r="G24">
        <f t="shared" si="2"/>
        <v>5</v>
      </c>
      <c r="H24">
        <f t="shared" si="3"/>
        <v>0.127</v>
      </c>
      <c r="I24">
        <v>19.399999999999999</v>
      </c>
      <c r="K24">
        <f t="shared" si="14"/>
        <v>11</v>
      </c>
      <c r="L24">
        <f t="shared" si="4"/>
        <v>5</v>
      </c>
      <c r="M24">
        <f t="shared" si="5"/>
        <v>0.127</v>
      </c>
      <c r="N24">
        <v>19.600000000000001</v>
      </c>
      <c r="Q24">
        <f t="shared" si="15"/>
        <v>22</v>
      </c>
      <c r="R24">
        <f t="shared" si="6"/>
        <v>10</v>
      </c>
      <c r="S24">
        <f t="shared" si="7"/>
        <v>0.254</v>
      </c>
      <c r="T24">
        <v>22.6</v>
      </c>
      <c r="V24">
        <f t="shared" si="16"/>
        <v>22</v>
      </c>
      <c r="W24">
        <f t="shared" si="8"/>
        <v>10</v>
      </c>
      <c r="X24">
        <f t="shared" si="9"/>
        <v>0.254</v>
      </c>
      <c r="Y24">
        <v>19.600000000000001</v>
      </c>
      <c r="AA24">
        <f t="shared" si="17"/>
        <v>22</v>
      </c>
      <c r="AB24">
        <f t="shared" si="10"/>
        <v>10</v>
      </c>
      <c r="AC24">
        <f t="shared" si="11"/>
        <v>0.254</v>
      </c>
      <c r="AD24">
        <v>20.6</v>
      </c>
    </row>
    <row r="25" spans="1:30" x14ac:dyDescent="0.5">
      <c r="A25">
        <f t="shared" si="12"/>
        <v>11.25</v>
      </c>
      <c r="B25">
        <f t="shared" si="0"/>
        <v>5.25</v>
      </c>
      <c r="C25">
        <f t="shared" si="1"/>
        <v>0.13335</v>
      </c>
      <c r="D25">
        <v>21.6</v>
      </c>
      <c r="F25">
        <f t="shared" si="13"/>
        <v>11.25</v>
      </c>
      <c r="G25">
        <f t="shared" si="2"/>
        <v>5.25</v>
      </c>
      <c r="H25">
        <f t="shared" si="3"/>
        <v>0.13335</v>
      </c>
      <c r="I25">
        <v>20</v>
      </c>
      <c r="K25">
        <f t="shared" si="14"/>
        <v>11.25</v>
      </c>
      <c r="L25">
        <f t="shared" si="4"/>
        <v>5.25</v>
      </c>
      <c r="M25">
        <f t="shared" si="5"/>
        <v>0.13335</v>
      </c>
      <c r="N25">
        <v>20.2</v>
      </c>
      <c r="Q25">
        <f t="shared" si="15"/>
        <v>22.5</v>
      </c>
      <c r="R25">
        <f t="shared" si="6"/>
        <v>10.5</v>
      </c>
      <c r="S25">
        <f t="shared" si="7"/>
        <v>0.26669999999999999</v>
      </c>
      <c r="T25">
        <v>23.2</v>
      </c>
      <c r="V25">
        <f t="shared" si="16"/>
        <v>22.5</v>
      </c>
      <c r="W25">
        <f t="shared" si="8"/>
        <v>10.5</v>
      </c>
      <c r="X25">
        <f t="shared" si="9"/>
        <v>0.26669999999999999</v>
      </c>
      <c r="Y25">
        <v>20.2</v>
      </c>
      <c r="AA25">
        <f t="shared" si="17"/>
        <v>22.5</v>
      </c>
      <c r="AB25">
        <f t="shared" si="10"/>
        <v>10.5</v>
      </c>
      <c r="AC25">
        <f t="shared" si="11"/>
        <v>0.26669999999999999</v>
      </c>
      <c r="AD25">
        <v>21.6</v>
      </c>
    </row>
    <row r="26" spans="1:30" x14ac:dyDescent="0.5">
      <c r="A26">
        <f t="shared" si="12"/>
        <v>11.5</v>
      </c>
      <c r="B26">
        <f t="shared" si="0"/>
        <v>5.5</v>
      </c>
      <c r="C26">
        <f t="shared" si="1"/>
        <v>0.13969999999999999</v>
      </c>
      <c r="D26">
        <v>21.8</v>
      </c>
      <c r="F26">
        <f t="shared" si="13"/>
        <v>11.5</v>
      </c>
      <c r="G26">
        <f t="shared" si="2"/>
        <v>5.5</v>
      </c>
      <c r="H26">
        <f t="shared" si="3"/>
        <v>0.13969999999999999</v>
      </c>
      <c r="I26">
        <v>20.6</v>
      </c>
      <c r="K26">
        <f t="shared" si="14"/>
        <v>11.5</v>
      </c>
      <c r="L26">
        <f t="shared" si="4"/>
        <v>5.5</v>
      </c>
      <c r="M26">
        <f t="shared" si="5"/>
        <v>0.13969999999999999</v>
      </c>
      <c r="N26">
        <v>21</v>
      </c>
      <c r="Q26">
        <f t="shared" si="15"/>
        <v>23</v>
      </c>
      <c r="R26">
        <f t="shared" si="6"/>
        <v>11</v>
      </c>
      <c r="S26">
        <f t="shared" si="7"/>
        <v>0.27939999999999998</v>
      </c>
      <c r="T26">
        <v>24</v>
      </c>
      <c r="V26">
        <f t="shared" si="16"/>
        <v>23</v>
      </c>
      <c r="W26">
        <f t="shared" si="8"/>
        <v>11</v>
      </c>
      <c r="X26">
        <f t="shared" si="9"/>
        <v>0.27939999999999998</v>
      </c>
      <c r="Y26">
        <v>21</v>
      </c>
      <c r="AA26">
        <f t="shared" si="17"/>
        <v>23</v>
      </c>
      <c r="AB26">
        <f t="shared" si="10"/>
        <v>11</v>
      </c>
      <c r="AC26">
        <f t="shared" si="11"/>
        <v>0.27939999999999998</v>
      </c>
      <c r="AD26">
        <v>21.8</v>
      </c>
    </row>
    <row r="27" spans="1:30" x14ac:dyDescent="0.5">
      <c r="A27">
        <f t="shared" si="12"/>
        <v>11.75</v>
      </c>
      <c r="B27">
        <f t="shared" si="0"/>
        <v>5.75</v>
      </c>
      <c r="C27">
        <f t="shared" si="1"/>
        <v>0.14604999999999999</v>
      </c>
      <c r="D27">
        <v>22.6</v>
      </c>
      <c r="F27">
        <f t="shared" si="13"/>
        <v>11.75</v>
      </c>
      <c r="G27">
        <f t="shared" si="2"/>
        <v>5.75</v>
      </c>
      <c r="H27">
        <f t="shared" si="3"/>
        <v>0.14604999999999999</v>
      </c>
      <c r="I27">
        <v>21</v>
      </c>
      <c r="K27">
        <f t="shared" si="14"/>
        <v>11.75</v>
      </c>
      <c r="L27">
        <f t="shared" si="4"/>
        <v>5.75</v>
      </c>
      <c r="M27">
        <f t="shared" si="5"/>
        <v>0.14604999999999999</v>
      </c>
      <c r="N27">
        <v>21.4</v>
      </c>
      <c r="Q27">
        <f t="shared" si="15"/>
        <v>23.5</v>
      </c>
      <c r="R27">
        <f t="shared" si="6"/>
        <v>11.5</v>
      </c>
      <c r="S27">
        <f t="shared" si="7"/>
        <v>0.29209999999999997</v>
      </c>
      <c r="T27">
        <v>24.4</v>
      </c>
      <c r="V27">
        <f t="shared" si="16"/>
        <v>23.5</v>
      </c>
      <c r="W27">
        <f t="shared" si="8"/>
        <v>11.5</v>
      </c>
      <c r="X27">
        <f t="shared" si="9"/>
        <v>0.29209999999999997</v>
      </c>
      <c r="Y27">
        <v>21.4</v>
      </c>
      <c r="AA27">
        <f t="shared" si="17"/>
        <v>23.5</v>
      </c>
      <c r="AB27">
        <f t="shared" si="10"/>
        <v>11.5</v>
      </c>
      <c r="AC27">
        <f t="shared" si="11"/>
        <v>0.29209999999999997</v>
      </c>
      <c r="AD27">
        <v>22.2</v>
      </c>
    </row>
    <row r="28" spans="1:30" x14ac:dyDescent="0.5">
      <c r="A28">
        <f t="shared" si="12"/>
        <v>12</v>
      </c>
      <c r="B28">
        <f t="shared" si="0"/>
        <v>6</v>
      </c>
      <c r="C28">
        <f t="shared" si="1"/>
        <v>0.15239999999999998</v>
      </c>
      <c r="D28">
        <v>23.4</v>
      </c>
      <c r="F28">
        <f t="shared" si="13"/>
        <v>12</v>
      </c>
      <c r="G28">
        <f t="shared" si="2"/>
        <v>6</v>
      </c>
      <c r="H28">
        <f t="shared" si="3"/>
        <v>0.15239999999999998</v>
      </c>
      <c r="I28">
        <v>21.2</v>
      </c>
      <c r="K28">
        <f t="shared" si="14"/>
        <v>12</v>
      </c>
      <c r="L28">
        <f t="shared" si="4"/>
        <v>6</v>
      </c>
      <c r="M28">
        <f t="shared" si="5"/>
        <v>0.15239999999999998</v>
      </c>
      <c r="N28">
        <v>21.6</v>
      </c>
      <c r="Q28">
        <f t="shared" si="15"/>
        <v>24</v>
      </c>
      <c r="R28">
        <f t="shared" si="6"/>
        <v>12</v>
      </c>
      <c r="S28">
        <f t="shared" si="7"/>
        <v>0.30479999999999996</v>
      </c>
      <c r="T28">
        <v>24.6</v>
      </c>
      <c r="V28">
        <f t="shared" si="16"/>
        <v>24</v>
      </c>
      <c r="W28">
        <f t="shared" si="8"/>
        <v>12</v>
      </c>
      <c r="X28">
        <f t="shared" si="9"/>
        <v>0.30479999999999996</v>
      </c>
      <c r="Y28">
        <v>22</v>
      </c>
      <c r="AA28">
        <f t="shared" si="17"/>
        <v>24</v>
      </c>
      <c r="AB28">
        <f t="shared" si="10"/>
        <v>12</v>
      </c>
      <c r="AC28">
        <f t="shared" si="11"/>
        <v>0.30479999999999996</v>
      </c>
      <c r="AD28">
        <v>23</v>
      </c>
    </row>
    <row r="29" spans="1:30" x14ac:dyDescent="0.5">
      <c r="A29">
        <f t="shared" si="12"/>
        <v>12.25</v>
      </c>
      <c r="B29">
        <f t="shared" si="0"/>
        <v>6.25</v>
      </c>
      <c r="C29">
        <f t="shared" si="1"/>
        <v>0.15875</v>
      </c>
      <c r="D29">
        <v>23.6</v>
      </c>
      <c r="F29">
        <f t="shared" si="13"/>
        <v>12.25</v>
      </c>
      <c r="G29">
        <f t="shared" si="2"/>
        <v>6.25</v>
      </c>
      <c r="H29">
        <f t="shared" si="3"/>
        <v>0.15875</v>
      </c>
      <c r="I29">
        <v>21.6</v>
      </c>
      <c r="K29">
        <f t="shared" si="14"/>
        <v>12.25</v>
      </c>
      <c r="L29">
        <f t="shared" si="4"/>
        <v>6.25</v>
      </c>
      <c r="M29">
        <f t="shared" si="5"/>
        <v>0.15875</v>
      </c>
      <c r="N29">
        <v>22</v>
      </c>
      <c r="Q29">
        <f t="shared" si="15"/>
        <v>24.5</v>
      </c>
      <c r="R29">
        <f t="shared" si="6"/>
        <v>12.5</v>
      </c>
      <c r="S29">
        <f t="shared" si="7"/>
        <v>0.3175</v>
      </c>
      <c r="T29">
        <v>25</v>
      </c>
      <c r="V29">
        <f t="shared" si="16"/>
        <v>24.5</v>
      </c>
      <c r="W29">
        <f t="shared" si="8"/>
        <v>12.5</v>
      </c>
      <c r="X29">
        <f t="shared" si="9"/>
        <v>0.3175</v>
      </c>
      <c r="Y29">
        <v>22.4</v>
      </c>
      <c r="AA29">
        <f t="shared" si="17"/>
        <v>24.5</v>
      </c>
      <c r="AB29">
        <f t="shared" si="10"/>
        <v>12.5</v>
      </c>
      <c r="AC29">
        <f t="shared" si="11"/>
        <v>0.3175</v>
      </c>
      <c r="AD29">
        <v>23.6</v>
      </c>
    </row>
    <row r="30" spans="1:30" x14ac:dyDescent="0.5">
      <c r="A30">
        <f t="shared" si="12"/>
        <v>12.5</v>
      </c>
      <c r="B30">
        <f t="shared" si="0"/>
        <v>6.5</v>
      </c>
      <c r="C30">
        <f t="shared" si="1"/>
        <v>0.1651</v>
      </c>
      <c r="D30">
        <v>23.8</v>
      </c>
      <c r="F30">
        <f t="shared" si="13"/>
        <v>12.5</v>
      </c>
      <c r="G30">
        <f t="shared" si="2"/>
        <v>6.5</v>
      </c>
      <c r="H30">
        <f t="shared" si="3"/>
        <v>0.1651</v>
      </c>
      <c r="I30">
        <v>22</v>
      </c>
      <c r="K30">
        <f t="shared" si="14"/>
        <v>12.5</v>
      </c>
      <c r="L30">
        <f t="shared" si="4"/>
        <v>6.5</v>
      </c>
      <c r="M30">
        <f t="shared" si="5"/>
        <v>0.1651</v>
      </c>
      <c r="N30">
        <v>22.8</v>
      </c>
      <c r="Q30">
        <f t="shared" si="15"/>
        <v>25</v>
      </c>
      <c r="R30">
        <f t="shared" si="6"/>
        <v>13</v>
      </c>
      <c r="S30">
        <f t="shared" si="7"/>
        <v>0.33019999999999999</v>
      </c>
      <c r="T30">
        <v>25.8</v>
      </c>
      <c r="V30">
        <f t="shared" si="16"/>
        <v>25</v>
      </c>
      <c r="W30">
        <f t="shared" si="8"/>
        <v>13</v>
      </c>
      <c r="X30">
        <f t="shared" si="9"/>
        <v>0.33019999999999999</v>
      </c>
      <c r="Y30">
        <v>22.8</v>
      </c>
      <c r="AA30">
        <f t="shared" si="17"/>
        <v>25</v>
      </c>
      <c r="AB30">
        <f t="shared" si="10"/>
        <v>13</v>
      </c>
      <c r="AC30">
        <f t="shared" si="11"/>
        <v>0.33019999999999999</v>
      </c>
      <c r="AD30">
        <v>24</v>
      </c>
    </row>
    <row r="31" spans="1:30" x14ac:dyDescent="0.5">
      <c r="A31">
        <f t="shared" si="12"/>
        <v>12.75</v>
      </c>
      <c r="B31">
        <f t="shared" si="0"/>
        <v>6.75</v>
      </c>
      <c r="C31">
        <f t="shared" si="1"/>
        <v>0.17144999999999999</v>
      </c>
      <c r="D31">
        <v>24.8</v>
      </c>
      <c r="F31">
        <f t="shared" si="13"/>
        <v>12.75</v>
      </c>
      <c r="G31">
        <f t="shared" si="2"/>
        <v>6.75</v>
      </c>
      <c r="H31">
        <f t="shared" si="3"/>
        <v>0.17144999999999999</v>
      </c>
      <c r="I31">
        <v>22.6</v>
      </c>
      <c r="K31">
        <f t="shared" si="14"/>
        <v>12.75</v>
      </c>
      <c r="L31">
        <f t="shared" si="4"/>
        <v>6.75</v>
      </c>
      <c r="M31">
        <f t="shared" si="5"/>
        <v>0.17144999999999999</v>
      </c>
      <c r="N31">
        <v>23</v>
      </c>
      <c r="Q31">
        <f t="shared" si="15"/>
        <v>25.5</v>
      </c>
      <c r="R31">
        <f t="shared" si="6"/>
        <v>13.5</v>
      </c>
      <c r="S31">
        <f t="shared" si="7"/>
        <v>0.34289999999999998</v>
      </c>
      <c r="T31">
        <v>26.2</v>
      </c>
      <c r="V31">
        <f t="shared" si="16"/>
        <v>25.5</v>
      </c>
      <c r="W31">
        <f t="shared" si="8"/>
        <v>13.5</v>
      </c>
      <c r="X31">
        <f t="shared" si="9"/>
        <v>0.34289999999999998</v>
      </c>
      <c r="Y31">
        <v>23.4</v>
      </c>
      <c r="AA31">
        <f t="shared" si="17"/>
        <v>25.5</v>
      </c>
      <c r="AB31">
        <f t="shared" si="10"/>
        <v>13.5</v>
      </c>
      <c r="AC31">
        <f t="shared" si="11"/>
        <v>0.34289999999999998</v>
      </c>
      <c r="AD31">
        <v>24.4</v>
      </c>
    </row>
    <row r="32" spans="1:30" x14ac:dyDescent="0.5">
      <c r="A32">
        <f t="shared" si="12"/>
        <v>13</v>
      </c>
      <c r="B32">
        <f t="shared" si="0"/>
        <v>7</v>
      </c>
      <c r="C32">
        <f t="shared" si="1"/>
        <v>0.17779999999999999</v>
      </c>
      <c r="D32">
        <v>24.8</v>
      </c>
      <c r="F32">
        <f t="shared" si="13"/>
        <v>13</v>
      </c>
      <c r="G32">
        <f t="shared" si="2"/>
        <v>7</v>
      </c>
      <c r="H32">
        <f t="shared" si="3"/>
        <v>0.17779999999999999</v>
      </c>
      <c r="I32">
        <v>23.2</v>
      </c>
      <c r="K32">
        <f t="shared" si="14"/>
        <v>13</v>
      </c>
      <c r="L32">
        <f t="shared" si="4"/>
        <v>7</v>
      </c>
      <c r="M32">
        <f t="shared" si="5"/>
        <v>0.17779999999999999</v>
      </c>
      <c r="N32">
        <v>23.6</v>
      </c>
      <c r="Q32">
        <f t="shared" si="15"/>
        <v>26</v>
      </c>
      <c r="R32">
        <f t="shared" si="6"/>
        <v>14</v>
      </c>
      <c r="S32">
        <f t="shared" si="7"/>
        <v>0.35559999999999997</v>
      </c>
      <c r="T32">
        <v>26.8</v>
      </c>
      <c r="V32">
        <f t="shared" si="16"/>
        <v>26</v>
      </c>
      <c r="W32">
        <f t="shared" si="8"/>
        <v>14</v>
      </c>
      <c r="X32">
        <f t="shared" si="9"/>
        <v>0.35559999999999997</v>
      </c>
      <c r="Y32">
        <v>23.8</v>
      </c>
      <c r="AA32">
        <f t="shared" si="17"/>
        <v>26</v>
      </c>
      <c r="AB32">
        <f t="shared" si="10"/>
        <v>14</v>
      </c>
      <c r="AC32">
        <f t="shared" si="11"/>
        <v>0.35559999999999997</v>
      </c>
      <c r="AD32">
        <v>25</v>
      </c>
    </row>
    <row r="33" spans="1:30" x14ac:dyDescent="0.5">
      <c r="A33">
        <f t="shared" si="12"/>
        <v>13.25</v>
      </c>
      <c r="B33">
        <f t="shared" si="0"/>
        <v>7.25</v>
      </c>
      <c r="C33">
        <f t="shared" si="1"/>
        <v>0.18414999999999998</v>
      </c>
      <c r="D33">
        <v>25.4</v>
      </c>
      <c r="F33">
        <f t="shared" si="13"/>
        <v>13.25</v>
      </c>
      <c r="G33">
        <f t="shared" si="2"/>
        <v>7.25</v>
      </c>
      <c r="H33">
        <f t="shared" si="3"/>
        <v>0.18414999999999998</v>
      </c>
      <c r="I33">
        <v>23.6</v>
      </c>
      <c r="K33">
        <f t="shared" si="14"/>
        <v>13.25</v>
      </c>
      <c r="L33">
        <f t="shared" si="4"/>
        <v>7.25</v>
      </c>
      <c r="M33">
        <f t="shared" si="5"/>
        <v>0.18414999999999998</v>
      </c>
      <c r="N33">
        <v>24</v>
      </c>
      <c r="Q33">
        <f t="shared" si="15"/>
        <v>26.5</v>
      </c>
      <c r="R33">
        <f t="shared" si="6"/>
        <v>14.5</v>
      </c>
      <c r="S33">
        <f t="shared" si="7"/>
        <v>0.36829999999999996</v>
      </c>
      <c r="T33">
        <v>27.4</v>
      </c>
      <c r="V33">
        <f t="shared" si="16"/>
        <v>26.5</v>
      </c>
      <c r="W33">
        <f t="shared" si="8"/>
        <v>14.5</v>
      </c>
      <c r="X33">
        <f t="shared" si="9"/>
        <v>0.36829999999999996</v>
      </c>
      <c r="Y33">
        <v>24.4</v>
      </c>
      <c r="AA33">
        <f t="shared" si="17"/>
        <v>26.5</v>
      </c>
      <c r="AB33">
        <f t="shared" si="10"/>
        <v>14.5</v>
      </c>
      <c r="AC33">
        <f t="shared" si="11"/>
        <v>0.36829999999999996</v>
      </c>
      <c r="AD33">
        <v>25.6</v>
      </c>
    </row>
    <row r="34" spans="1:30" x14ac:dyDescent="0.5">
      <c r="A34">
        <f t="shared" si="12"/>
        <v>13.5</v>
      </c>
      <c r="B34">
        <f t="shared" si="0"/>
        <v>7.5</v>
      </c>
      <c r="C34">
        <f t="shared" si="1"/>
        <v>0.1905</v>
      </c>
      <c r="D34">
        <v>26</v>
      </c>
      <c r="F34">
        <f t="shared" si="13"/>
        <v>13.5</v>
      </c>
      <c r="G34">
        <f t="shared" si="2"/>
        <v>7.5</v>
      </c>
      <c r="H34">
        <f t="shared" si="3"/>
        <v>0.1905</v>
      </c>
      <c r="I34">
        <v>24.2</v>
      </c>
      <c r="K34">
        <f t="shared" si="14"/>
        <v>13.5</v>
      </c>
      <c r="L34">
        <f t="shared" si="4"/>
        <v>7.5</v>
      </c>
      <c r="M34">
        <f t="shared" si="5"/>
        <v>0.1905</v>
      </c>
      <c r="N34">
        <v>24.6</v>
      </c>
      <c r="Q34">
        <f t="shared" si="15"/>
        <v>27</v>
      </c>
      <c r="R34">
        <f t="shared" si="6"/>
        <v>15</v>
      </c>
      <c r="S34">
        <f t="shared" si="7"/>
        <v>0.38100000000000001</v>
      </c>
      <c r="T34">
        <v>28</v>
      </c>
      <c r="V34">
        <f t="shared" si="16"/>
        <v>27</v>
      </c>
      <c r="W34">
        <f t="shared" si="8"/>
        <v>15</v>
      </c>
      <c r="X34">
        <f t="shared" si="9"/>
        <v>0.38100000000000001</v>
      </c>
      <c r="Y34">
        <v>24.8</v>
      </c>
      <c r="AA34">
        <f t="shared" si="17"/>
        <v>27</v>
      </c>
      <c r="AB34">
        <f t="shared" si="10"/>
        <v>15</v>
      </c>
      <c r="AC34">
        <f t="shared" si="11"/>
        <v>0.38100000000000001</v>
      </c>
      <c r="AD34">
        <v>26</v>
      </c>
    </row>
    <row r="35" spans="1:30" x14ac:dyDescent="0.5">
      <c r="A35">
        <f>A34+0.25</f>
        <v>13.75</v>
      </c>
      <c r="B35">
        <f t="shared" si="0"/>
        <v>7.75</v>
      </c>
      <c r="C35">
        <f t="shared" si="1"/>
        <v>0.19685</v>
      </c>
      <c r="D35">
        <v>26.4</v>
      </c>
      <c r="F35">
        <f>F34+0.25</f>
        <v>13.75</v>
      </c>
      <c r="G35">
        <f t="shared" si="2"/>
        <v>7.75</v>
      </c>
      <c r="H35">
        <f t="shared" si="3"/>
        <v>0.19685</v>
      </c>
      <c r="I35">
        <v>24.8</v>
      </c>
      <c r="K35">
        <f>K34+0.25</f>
        <v>13.75</v>
      </c>
      <c r="L35">
        <f t="shared" si="4"/>
        <v>7.75</v>
      </c>
      <c r="M35">
        <f t="shared" si="5"/>
        <v>0.19685</v>
      </c>
      <c r="N35">
        <v>25</v>
      </c>
      <c r="Q35">
        <f t="shared" si="15"/>
        <v>27.5</v>
      </c>
      <c r="R35">
        <f t="shared" si="6"/>
        <v>15.5</v>
      </c>
      <c r="S35">
        <f t="shared" si="7"/>
        <v>0.39369999999999999</v>
      </c>
      <c r="T35">
        <v>28.4</v>
      </c>
      <c r="V35">
        <f t="shared" si="16"/>
        <v>27.5</v>
      </c>
      <c r="W35">
        <f t="shared" si="8"/>
        <v>15.5</v>
      </c>
      <c r="X35">
        <f t="shared" si="9"/>
        <v>0.39369999999999999</v>
      </c>
      <c r="Y35">
        <v>25.4</v>
      </c>
      <c r="AA35">
        <f t="shared" si="17"/>
        <v>27.5</v>
      </c>
      <c r="AB35">
        <f t="shared" si="10"/>
        <v>15.5</v>
      </c>
      <c r="AC35">
        <f t="shared" si="11"/>
        <v>0.39369999999999999</v>
      </c>
      <c r="AD35">
        <v>26.6</v>
      </c>
    </row>
    <row r="36" spans="1:30" x14ac:dyDescent="0.5">
      <c r="A36">
        <f t="shared" si="12"/>
        <v>14</v>
      </c>
      <c r="B36">
        <f t="shared" si="0"/>
        <v>8</v>
      </c>
      <c r="C36">
        <f t="shared" si="1"/>
        <v>0.20319999999999999</v>
      </c>
      <c r="D36">
        <v>27</v>
      </c>
      <c r="F36">
        <f t="shared" si="13"/>
        <v>14</v>
      </c>
      <c r="G36">
        <f t="shared" si="2"/>
        <v>8</v>
      </c>
      <c r="H36">
        <f t="shared" si="3"/>
        <v>0.20319999999999999</v>
      </c>
      <c r="I36">
        <v>25</v>
      </c>
      <c r="K36">
        <f t="shared" si="14"/>
        <v>14</v>
      </c>
      <c r="L36">
        <f t="shared" si="4"/>
        <v>8</v>
      </c>
      <c r="M36">
        <f t="shared" si="5"/>
        <v>0.20319999999999999</v>
      </c>
      <c r="N36">
        <v>25.6</v>
      </c>
      <c r="Q36">
        <f t="shared" si="15"/>
        <v>28</v>
      </c>
      <c r="R36">
        <f t="shared" si="6"/>
        <v>16</v>
      </c>
      <c r="S36">
        <f t="shared" si="7"/>
        <v>0.40639999999999998</v>
      </c>
      <c r="T36">
        <v>29</v>
      </c>
      <c r="V36">
        <f t="shared" si="16"/>
        <v>28</v>
      </c>
      <c r="W36">
        <f t="shared" si="8"/>
        <v>16</v>
      </c>
      <c r="X36">
        <f t="shared" si="9"/>
        <v>0.40639999999999998</v>
      </c>
      <c r="Y36">
        <v>25.8</v>
      </c>
      <c r="AA36">
        <f t="shared" si="17"/>
        <v>28</v>
      </c>
      <c r="AB36">
        <f t="shared" si="10"/>
        <v>16</v>
      </c>
      <c r="AC36">
        <f t="shared" si="11"/>
        <v>0.40639999999999998</v>
      </c>
      <c r="AD36">
        <v>27</v>
      </c>
    </row>
    <row r="37" spans="1:30" x14ac:dyDescent="0.5">
      <c r="A37">
        <f t="shared" si="12"/>
        <v>14.25</v>
      </c>
      <c r="B37">
        <f t="shared" si="0"/>
        <v>8.25</v>
      </c>
      <c r="C37">
        <f t="shared" si="1"/>
        <v>0.20954999999999999</v>
      </c>
      <c r="D37">
        <v>27.6</v>
      </c>
      <c r="F37">
        <f t="shared" si="13"/>
        <v>14.25</v>
      </c>
      <c r="G37">
        <f t="shared" si="2"/>
        <v>8.25</v>
      </c>
      <c r="H37">
        <f t="shared" si="3"/>
        <v>0.20954999999999999</v>
      </c>
      <c r="I37">
        <v>25.4</v>
      </c>
      <c r="K37">
        <f t="shared" si="14"/>
        <v>14.25</v>
      </c>
      <c r="L37">
        <f t="shared" si="4"/>
        <v>8.25</v>
      </c>
      <c r="M37">
        <f t="shared" si="5"/>
        <v>0.20954999999999999</v>
      </c>
      <c r="N37">
        <v>26</v>
      </c>
      <c r="Q37">
        <f t="shared" si="15"/>
        <v>28.5</v>
      </c>
      <c r="R37">
        <f t="shared" si="6"/>
        <v>16.5</v>
      </c>
      <c r="S37">
        <f t="shared" si="7"/>
        <v>0.41909999999999997</v>
      </c>
      <c r="T37">
        <v>29.2</v>
      </c>
      <c r="V37">
        <f t="shared" si="16"/>
        <v>28.5</v>
      </c>
      <c r="W37">
        <f t="shared" si="8"/>
        <v>16.5</v>
      </c>
      <c r="X37">
        <f t="shared" si="9"/>
        <v>0.41909999999999997</v>
      </c>
      <c r="Y37">
        <v>26.4</v>
      </c>
      <c r="AA37">
        <f t="shared" si="17"/>
        <v>28.5</v>
      </c>
      <c r="AB37">
        <f t="shared" si="10"/>
        <v>16.5</v>
      </c>
      <c r="AC37">
        <f t="shared" si="11"/>
        <v>0.41909999999999997</v>
      </c>
      <c r="AD37">
        <v>27.8</v>
      </c>
    </row>
    <row r="38" spans="1:30" x14ac:dyDescent="0.5">
      <c r="A38">
        <f t="shared" si="12"/>
        <v>14.5</v>
      </c>
      <c r="B38">
        <f t="shared" si="0"/>
        <v>8.5</v>
      </c>
      <c r="C38">
        <f t="shared" si="1"/>
        <v>0.21589999999999998</v>
      </c>
      <c r="D38">
        <v>28</v>
      </c>
      <c r="F38">
        <f t="shared" si="13"/>
        <v>14.5</v>
      </c>
      <c r="G38">
        <f t="shared" si="2"/>
        <v>8.5</v>
      </c>
      <c r="H38">
        <f t="shared" si="3"/>
        <v>0.21589999999999998</v>
      </c>
      <c r="I38">
        <v>25.8</v>
      </c>
      <c r="K38">
        <f t="shared" si="14"/>
        <v>14.5</v>
      </c>
      <c r="L38">
        <f t="shared" si="4"/>
        <v>8.5</v>
      </c>
      <c r="M38">
        <f t="shared" si="5"/>
        <v>0.21589999999999998</v>
      </c>
      <c r="N38">
        <v>27.2</v>
      </c>
      <c r="Q38">
        <f t="shared" si="15"/>
        <v>29</v>
      </c>
      <c r="R38">
        <f t="shared" si="6"/>
        <v>17</v>
      </c>
      <c r="S38">
        <f t="shared" si="7"/>
        <v>0.43179999999999996</v>
      </c>
      <c r="T38">
        <v>30</v>
      </c>
      <c r="V38">
        <f t="shared" si="16"/>
        <v>29</v>
      </c>
      <c r="W38">
        <f t="shared" si="8"/>
        <v>17</v>
      </c>
      <c r="X38">
        <f t="shared" si="9"/>
        <v>0.43179999999999996</v>
      </c>
      <c r="Y38">
        <v>26.8</v>
      </c>
      <c r="AA38">
        <f t="shared" si="17"/>
        <v>29</v>
      </c>
      <c r="AB38">
        <f t="shared" si="10"/>
        <v>17</v>
      </c>
      <c r="AC38">
        <f t="shared" si="11"/>
        <v>0.43179999999999996</v>
      </c>
      <c r="AD38">
        <v>28</v>
      </c>
    </row>
    <row r="39" spans="1:30" x14ac:dyDescent="0.5">
      <c r="A39">
        <f t="shared" si="12"/>
        <v>14.75</v>
      </c>
      <c r="B39">
        <f t="shared" si="0"/>
        <v>8.75</v>
      </c>
      <c r="C39">
        <f t="shared" si="1"/>
        <v>0.22225</v>
      </c>
      <c r="D39">
        <v>28.2</v>
      </c>
      <c r="F39">
        <f t="shared" si="13"/>
        <v>14.75</v>
      </c>
      <c r="G39">
        <f t="shared" si="2"/>
        <v>8.75</v>
      </c>
      <c r="H39">
        <f t="shared" si="3"/>
        <v>0.22225</v>
      </c>
      <c r="I39">
        <v>26.4</v>
      </c>
      <c r="K39">
        <f t="shared" si="14"/>
        <v>14.75</v>
      </c>
      <c r="L39">
        <f t="shared" si="4"/>
        <v>8.75</v>
      </c>
      <c r="M39">
        <f t="shared" si="5"/>
        <v>0.22225</v>
      </c>
      <c r="N39">
        <v>28.2</v>
      </c>
      <c r="Q39">
        <f t="shared" si="15"/>
        <v>29.5</v>
      </c>
      <c r="R39">
        <f t="shared" si="6"/>
        <v>17.5</v>
      </c>
      <c r="S39">
        <f t="shared" si="7"/>
        <v>0.44450000000000001</v>
      </c>
      <c r="T39">
        <v>30.4</v>
      </c>
      <c r="V39">
        <f t="shared" si="16"/>
        <v>29.5</v>
      </c>
      <c r="W39">
        <f t="shared" si="8"/>
        <v>17.5</v>
      </c>
      <c r="X39">
        <f t="shared" si="9"/>
        <v>0.44450000000000001</v>
      </c>
      <c r="Y39">
        <v>27.6</v>
      </c>
      <c r="AA39">
        <f t="shared" si="17"/>
        <v>29.5</v>
      </c>
      <c r="AB39">
        <f t="shared" si="10"/>
        <v>17.5</v>
      </c>
      <c r="AC39">
        <f t="shared" si="11"/>
        <v>0.44450000000000001</v>
      </c>
      <c r="AD39">
        <v>28.6</v>
      </c>
    </row>
    <row r="40" spans="1:30" x14ac:dyDescent="0.5">
      <c r="A40">
        <f t="shared" si="12"/>
        <v>15</v>
      </c>
      <c r="B40">
        <f t="shared" si="0"/>
        <v>9</v>
      </c>
      <c r="C40">
        <f t="shared" si="1"/>
        <v>0.2286</v>
      </c>
      <c r="D40">
        <v>28.8</v>
      </c>
      <c r="F40">
        <f t="shared" si="13"/>
        <v>15</v>
      </c>
      <c r="G40">
        <f t="shared" si="2"/>
        <v>9</v>
      </c>
      <c r="H40">
        <f t="shared" si="3"/>
        <v>0.2286</v>
      </c>
      <c r="I40">
        <v>27</v>
      </c>
      <c r="K40">
        <f t="shared" si="14"/>
        <v>15</v>
      </c>
      <c r="L40">
        <f t="shared" si="4"/>
        <v>9</v>
      </c>
      <c r="M40">
        <f t="shared" si="5"/>
        <v>0.2286</v>
      </c>
      <c r="N40">
        <v>28.8</v>
      </c>
      <c r="Q40">
        <f t="shared" si="15"/>
        <v>30</v>
      </c>
      <c r="R40">
        <f t="shared" si="6"/>
        <v>18</v>
      </c>
      <c r="S40">
        <f t="shared" si="7"/>
        <v>0.4572</v>
      </c>
      <c r="T40">
        <v>31</v>
      </c>
      <c r="V40">
        <f t="shared" si="16"/>
        <v>30</v>
      </c>
      <c r="W40">
        <f t="shared" si="8"/>
        <v>18</v>
      </c>
      <c r="X40">
        <f t="shared" si="9"/>
        <v>0.4572</v>
      </c>
      <c r="Y40">
        <v>27.8</v>
      </c>
      <c r="AA40">
        <f t="shared" si="17"/>
        <v>30</v>
      </c>
      <c r="AB40">
        <f t="shared" si="10"/>
        <v>18</v>
      </c>
      <c r="AC40">
        <f t="shared" si="11"/>
        <v>0.4572</v>
      </c>
      <c r="AD40">
        <v>29</v>
      </c>
    </row>
    <row r="41" spans="1:30" x14ac:dyDescent="0.5">
      <c r="A41">
        <f t="shared" si="12"/>
        <v>15.25</v>
      </c>
      <c r="B41">
        <f t="shared" si="0"/>
        <v>9.25</v>
      </c>
      <c r="C41">
        <f t="shared" si="1"/>
        <v>0.23494999999999999</v>
      </c>
      <c r="D41">
        <v>29.4</v>
      </c>
      <c r="F41">
        <f t="shared" si="13"/>
        <v>15.25</v>
      </c>
      <c r="G41">
        <f t="shared" si="2"/>
        <v>9.25</v>
      </c>
      <c r="H41">
        <f t="shared" si="3"/>
        <v>0.23494999999999999</v>
      </c>
      <c r="I41">
        <v>27.4</v>
      </c>
      <c r="K41">
        <f t="shared" si="14"/>
        <v>15.25</v>
      </c>
      <c r="L41">
        <f t="shared" si="4"/>
        <v>9.25</v>
      </c>
      <c r="M41">
        <f t="shared" si="5"/>
        <v>0.23494999999999999</v>
      </c>
      <c r="N41">
        <v>29.2</v>
      </c>
      <c r="Q41">
        <f t="shared" si="15"/>
        <v>30.5</v>
      </c>
      <c r="R41">
        <f t="shared" si="6"/>
        <v>18.5</v>
      </c>
      <c r="S41">
        <f t="shared" si="7"/>
        <v>0.46989999999999998</v>
      </c>
      <c r="T41">
        <v>31.2</v>
      </c>
      <c r="V41">
        <f t="shared" si="16"/>
        <v>30.5</v>
      </c>
      <c r="W41">
        <f t="shared" si="8"/>
        <v>18.5</v>
      </c>
      <c r="X41">
        <f t="shared" si="9"/>
        <v>0.46989999999999998</v>
      </c>
      <c r="Y41">
        <v>28.6</v>
      </c>
      <c r="AA41">
        <f t="shared" si="17"/>
        <v>30.5</v>
      </c>
      <c r="AB41">
        <f t="shared" si="10"/>
        <v>18.5</v>
      </c>
      <c r="AC41">
        <f t="shared" si="11"/>
        <v>0.46989999999999998</v>
      </c>
      <c r="AD41">
        <v>29.6</v>
      </c>
    </row>
    <row r="42" spans="1:30" x14ac:dyDescent="0.5">
      <c r="A42">
        <f t="shared" si="12"/>
        <v>15.5</v>
      </c>
      <c r="B42">
        <f t="shared" si="0"/>
        <v>9.5</v>
      </c>
      <c r="C42">
        <f t="shared" si="1"/>
        <v>0.24129999999999999</v>
      </c>
      <c r="D42">
        <v>30</v>
      </c>
      <c r="F42">
        <f t="shared" si="13"/>
        <v>15.5</v>
      </c>
      <c r="G42">
        <f t="shared" si="2"/>
        <v>9.5</v>
      </c>
      <c r="H42">
        <f t="shared" si="3"/>
        <v>0.24129999999999999</v>
      </c>
      <c r="I42">
        <v>27.8</v>
      </c>
      <c r="K42">
        <f t="shared" si="14"/>
        <v>15.5</v>
      </c>
      <c r="L42">
        <f t="shared" si="4"/>
        <v>9.5</v>
      </c>
      <c r="M42">
        <f t="shared" si="5"/>
        <v>0.24129999999999999</v>
      </c>
      <c r="N42">
        <v>29.6</v>
      </c>
      <c r="Q42">
        <f t="shared" si="15"/>
        <v>31</v>
      </c>
      <c r="R42">
        <f t="shared" si="6"/>
        <v>19</v>
      </c>
      <c r="S42">
        <f t="shared" si="7"/>
        <v>0.48259999999999997</v>
      </c>
      <c r="T42">
        <v>31.6</v>
      </c>
      <c r="V42">
        <f t="shared" si="16"/>
        <v>31</v>
      </c>
      <c r="W42">
        <f t="shared" si="8"/>
        <v>19</v>
      </c>
      <c r="X42">
        <f t="shared" si="9"/>
        <v>0.48259999999999997</v>
      </c>
      <c r="Y42">
        <v>29</v>
      </c>
      <c r="AA42">
        <f t="shared" si="17"/>
        <v>31</v>
      </c>
      <c r="AB42">
        <f t="shared" si="10"/>
        <v>19</v>
      </c>
      <c r="AC42">
        <f t="shared" si="11"/>
        <v>0.48259999999999997</v>
      </c>
      <c r="AD42">
        <v>30.2</v>
      </c>
    </row>
    <row r="43" spans="1:30" x14ac:dyDescent="0.5">
      <c r="A43">
        <f t="shared" si="12"/>
        <v>15.75</v>
      </c>
      <c r="B43">
        <f t="shared" si="0"/>
        <v>9.75</v>
      </c>
      <c r="C43">
        <f t="shared" si="1"/>
        <v>0.24764999999999998</v>
      </c>
      <c r="D43">
        <v>30.4</v>
      </c>
      <c r="F43">
        <f t="shared" si="13"/>
        <v>15.75</v>
      </c>
      <c r="G43">
        <f t="shared" si="2"/>
        <v>9.75</v>
      </c>
      <c r="H43">
        <f t="shared" si="3"/>
        <v>0.24764999999999998</v>
      </c>
      <c r="I43">
        <v>28.4</v>
      </c>
      <c r="K43">
        <f t="shared" si="14"/>
        <v>15.75</v>
      </c>
      <c r="L43">
        <f t="shared" si="4"/>
        <v>9.75</v>
      </c>
      <c r="M43">
        <f t="shared" si="5"/>
        <v>0.24764999999999998</v>
      </c>
      <c r="N43">
        <v>30</v>
      </c>
      <c r="Q43">
        <f t="shared" si="15"/>
        <v>31.5</v>
      </c>
      <c r="R43">
        <f t="shared" si="6"/>
        <v>19.5</v>
      </c>
      <c r="S43">
        <f t="shared" si="7"/>
        <v>0.49529999999999996</v>
      </c>
      <c r="T43">
        <v>32.200000000000003</v>
      </c>
      <c r="V43">
        <f t="shared" si="16"/>
        <v>31.5</v>
      </c>
      <c r="W43">
        <f t="shared" si="8"/>
        <v>19.5</v>
      </c>
      <c r="X43">
        <f t="shared" si="9"/>
        <v>0.49529999999999996</v>
      </c>
      <c r="Y43">
        <v>29.6</v>
      </c>
      <c r="AA43">
        <f t="shared" si="17"/>
        <v>31.5</v>
      </c>
      <c r="AB43">
        <f t="shared" si="10"/>
        <v>19.5</v>
      </c>
      <c r="AC43">
        <f t="shared" si="11"/>
        <v>0.49529999999999996</v>
      </c>
      <c r="AD43">
        <v>30.8</v>
      </c>
    </row>
    <row r="44" spans="1:30" x14ac:dyDescent="0.5">
      <c r="A44">
        <f t="shared" si="12"/>
        <v>16</v>
      </c>
      <c r="B44">
        <f t="shared" si="0"/>
        <v>10</v>
      </c>
      <c r="C44">
        <f t="shared" si="1"/>
        <v>0.254</v>
      </c>
      <c r="D44">
        <v>30.8</v>
      </c>
      <c r="F44">
        <f t="shared" si="13"/>
        <v>16</v>
      </c>
      <c r="G44">
        <f t="shared" si="2"/>
        <v>10</v>
      </c>
      <c r="H44">
        <f t="shared" si="3"/>
        <v>0.254</v>
      </c>
      <c r="I44">
        <v>29</v>
      </c>
      <c r="K44">
        <f t="shared" si="14"/>
        <v>16</v>
      </c>
      <c r="L44">
        <f t="shared" si="4"/>
        <v>10</v>
      </c>
      <c r="M44">
        <f t="shared" si="5"/>
        <v>0.254</v>
      </c>
      <c r="N44">
        <v>30.4</v>
      </c>
      <c r="Q44">
        <f t="shared" si="15"/>
        <v>32</v>
      </c>
      <c r="R44">
        <f t="shared" si="6"/>
        <v>20</v>
      </c>
      <c r="S44">
        <f t="shared" si="7"/>
        <v>0.50800000000000001</v>
      </c>
      <c r="T44">
        <v>32.6</v>
      </c>
      <c r="V44">
        <f t="shared" si="16"/>
        <v>32</v>
      </c>
      <c r="W44">
        <f t="shared" si="8"/>
        <v>20</v>
      </c>
      <c r="X44">
        <f t="shared" si="9"/>
        <v>0.50800000000000001</v>
      </c>
      <c r="Y44">
        <v>30</v>
      </c>
      <c r="AA44">
        <f t="shared" si="17"/>
        <v>32</v>
      </c>
      <c r="AB44">
        <f t="shared" si="10"/>
        <v>20</v>
      </c>
      <c r="AC44">
        <f t="shared" si="11"/>
        <v>0.50800000000000001</v>
      </c>
      <c r="AD44">
        <v>31.2</v>
      </c>
    </row>
    <row r="45" spans="1:30" x14ac:dyDescent="0.5">
      <c r="A45">
        <f t="shared" si="12"/>
        <v>16.25</v>
      </c>
      <c r="B45">
        <f t="shared" si="0"/>
        <v>10.25</v>
      </c>
      <c r="C45">
        <f t="shared" si="1"/>
        <v>0.26034999999999997</v>
      </c>
      <c r="D45">
        <v>31.2</v>
      </c>
      <c r="F45">
        <f t="shared" si="13"/>
        <v>16.25</v>
      </c>
      <c r="G45">
        <f t="shared" si="2"/>
        <v>10.25</v>
      </c>
      <c r="H45">
        <f t="shared" si="3"/>
        <v>0.26034999999999997</v>
      </c>
      <c r="I45">
        <v>29.4</v>
      </c>
      <c r="K45">
        <f t="shared" si="14"/>
        <v>16.25</v>
      </c>
      <c r="L45">
        <f t="shared" si="4"/>
        <v>10.25</v>
      </c>
      <c r="M45">
        <f t="shared" si="5"/>
        <v>0.26034999999999997</v>
      </c>
      <c r="N45">
        <v>30.6</v>
      </c>
      <c r="Q45">
        <f t="shared" si="15"/>
        <v>32.5</v>
      </c>
      <c r="R45">
        <f t="shared" si="6"/>
        <v>20.5</v>
      </c>
      <c r="S45">
        <f t="shared" si="7"/>
        <v>0.52069999999999994</v>
      </c>
      <c r="T45">
        <v>33.200000000000003</v>
      </c>
      <c r="V45">
        <f t="shared" si="16"/>
        <v>32.5</v>
      </c>
      <c r="W45">
        <f t="shared" si="8"/>
        <v>20.5</v>
      </c>
      <c r="X45">
        <f t="shared" si="9"/>
        <v>0.52069999999999994</v>
      </c>
      <c r="Y45">
        <v>30.4</v>
      </c>
      <c r="AA45">
        <f t="shared" si="17"/>
        <v>32.5</v>
      </c>
      <c r="AB45">
        <f t="shared" si="10"/>
        <v>20.5</v>
      </c>
      <c r="AC45">
        <f t="shared" si="11"/>
        <v>0.52069999999999994</v>
      </c>
      <c r="AD45">
        <v>31.8</v>
      </c>
    </row>
    <row r="46" spans="1:30" x14ac:dyDescent="0.5">
      <c r="A46">
        <f>A45+0.25</f>
        <v>16.5</v>
      </c>
      <c r="B46">
        <f t="shared" si="0"/>
        <v>10.5</v>
      </c>
      <c r="C46">
        <f t="shared" si="1"/>
        <v>0.26669999999999999</v>
      </c>
      <c r="D46">
        <v>31.4</v>
      </c>
      <c r="F46">
        <f>F45+0.25</f>
        <v>16.5</v>
      </c>
      <c r="G46">
        <f t="shared" si="2"/>
        <v>10.5</v>
      </c>
      <c r="H46">
        <f t="shared" si="3"/>
        <v>0.26669999999999999</v>
      </c>
      <c r="I46">
        <v>30</v>
      </c>
      <c r="K46">
        <f>K45+0.25</f>
        <v>16.5</v>
      </c>
      <c r="L46">
        <f t="shared" si="4"/>
        <v>10.5</v>
      </c>
      <c r="M46">
        <f t="shared" si="5"/>
        <v>0.26669999999999999</v>
      </c>
      <c r="N46">
        <v>31</v>
      </c>
      <c r="Q46">
        <f t="shared" si="15"/>
        <v>33</v>
      </c>
      <c r="R46">
        <f t="shared" si="6"/>
        <v>21</v>
      </c>
      <c r="S46">
        <f t="shared" si="7"/>
        <v>0.53339999999999999</v>
      </c>
      <c r="T46">
        <v>33.6</v>
      </c>
      <c r="V46">
        <f t="shared" si="16"/>
        <v>33</v>
      </c>
      <c r="W46">
        <f t="shared" si="8"/>
        <v>21</v>
      </c>
      <c r="X46">
        <f t="shared" si="9"/>
        <v>0.53339999999999999</v>
      </c>
      <c r="Y46">
        <v>31</v>
      </c>
      <c r="AA46">
        <f t="shared" si="17"/>
        <v>33</v>
      </c>
      <c r="AB46">
        <f t="shared" si="10"/>
        <v>21</v>
      </c>
      <c r="AC46">
        <f t="shared" si="11"/>
        <v>0.53339999999999999</v>
      </c>
      <c r="AD46">
        <v>32.4</v>
      </c>
    </row>
    <row r="47" spans="1:30" x14ac:dyDescent="0.5">
      <c r="A47">
        <f t="shared" ref="A47:A51" si="18">A46+0.25</f>
        <v>16.75</v>
      </c>
      <c r="B47">
        <f t="shared" si="0"/>
        <v>10.75</v>
      </c>
      <c r="C47">
        <f t="shared" si="1"/>
        <v>0.27305000000000001</v>
      </c>
      <c r="D47">
        <v>32</v>
      </c>
      <c r="F47">
        <f t="shared" ref="F47:F51" si="19">F46+0.25</f>
        <v>16.75</v>
      </c>
      <c r="G47">
        <f t="shared" si="2"/>
        <v>10.75</v>
      </c>
      <c r="H47">
        <f t="shared" si="3"/>
        <v>0.27305000000000001</v>
      </c>
      <c r="I47">
        <v>30.6</v>
      </c>
      <c r="K47">
        <f t="shared" ref="K47:K51" si="20">K46+0.25</f>
        <v>16.75</v>
      </c>
      <c r="L47">
        <f t="shared" si="4"/>
        <v>10.75</v>
      </c>
      <c r="M47">
        <f t="shared" si="5"/>
        <v>0.27305000000000001</v>
      </c>
      <c r="N47">
        <v>31.4</v>
      </c>
      <c r="Q47">
        <f t="shared" si="15"/>
        <v>33.5</v>
      </c>
      <c r="R47">
        <f t="shared" si="6"/>
        <v>21.5</v>
      </c>
      <c r="S47">
        <f t="shared" si="7"/>
        <v>0.54610000000000003</v>
      </c>
      <c r="T47">
        <v>34.200000000000003</v>
      </c>
      <c r="V47">
        <f t="shared" si="16"/>
        <v>33.5</v>
      </c>
      <c r="W47">
        <f t="shared" si="8"/>
        <v>21.5</v>
      </c>
      <c r="X47">
        <f t="shared" si="9"/>
        <v>0.54610000000000003</v>
      </c>
      <c r="Y47">
        <v>31.6</v>
      </c>
      <c r="AA47">
        <f t="shared" si="17"/>
        <v>33.5</v>
      </c>
      <c r="AB47">
        <f t="shared" si="10"/>
        <v>21.5</v>
      </c>
      <c r="AC47">
        <f t="shared" si="11"/>
        <v>0.54610000000000003</v>
      </c>
      <c r="AD47">
        <v>32.6</v>
      </c>
    </row>
    <row r="48" spans="1:30" x14ac:dyDescent="0.5">
      <c r="A48">
        <f t="shared" si="18"/>
        <v>17</v>
      </c>
      <c r="B48">
        <f t="shared" si="0"/>
        <v>11</v>
      </c>
      <c r="C48">
        <f t="shared" si="1"/>
        <v>0.27939999999999998</v>
      </c>
      <c r="D48">
        <v>32.4</v>
      </c>
      <c r="F48">
        <f t="shared" si="19"/>
        <v>17</v>
      </c>
      <c r="G48">
        <f t="shared" si="2"/>
        <v>11</v>
      </c>
      <c r="H48">
        <f t="shared" si="3"/>
        <v>0.27939999999999998</v>
      </c>
      <c r="I48">
        <v>30.8</v>
      </c>
      <c r="K48">
        <f t="shared" si="20"/>
        <v>17</v>
      </c>
      <c r="L48">
        <f t="shared" si="4"/>
        <v>11</v>
      </c>
      <c r="M48">
        <f t="shared" si="5"/>
        <v>0.27939999999999998</v>
      </c>
      <c r="N48">
        <v>32.200000000000003</v>
      </c>
      <c r="Q48">
        <f t="shared" si="15"/>
        <v>34</v>
      </c>
      <c r="R48">
        <f t="shared" si="6"/>
        <v>22</v>
      </c>
      <c r="S48">
        <f t="shared" si="7"/>
        <v>0.55879999999999996</v>
      </c>
      <c r="T48">
        <v>34.4</v>
      </c>
      <c r="V48">
        <f t="shared" si="16"/>
        <v>34</v>
      </c>
      <c r="W48">
        <f t="shared" si="8"/>
        <v>22</v>
      </c>
      <c r="X48">
        <f t="shared" si="9"/>
        <v>0.55879999999999996</v>
      </c>
      <c r="Y48">
        <v>32</v>
      </c>
      <c r="AA48">
        <f t="shared" si="17"/>
        <v>34</v>
      </c>
      <c r="AB48">
        <f t="shared" si="10"/>
        <v>22</v>
      </c>
      <c r="AC48">
        <f t="shared" si="11"/>
        <v>0.55879999999999996</v>
      </c>
      <c r="AD48">
        <v>33</v>
      </c>
    </row>
    <row r="49" spans="1:30" x14ac:dyDescent="0.5">
      <c r="A49">
        <f t="shared" si="18"/>
        <v>17.25</v>
      </c>
      <c r="B49">
        <f t="shared" si="0"/>
        <v>11.25</v>
      </c>
      <c r="C49">
        <f t="shared" si="1"/>
        <v>0.28575</v>
      </c>
      <c r="D49">
        <v>33</v>
      </c>
      <c r="F49">
        <f t="shared" si="19"/>
        <v>17.25</v>
      </c>
      <c r="G49">
        <f t="shared" si="2"/>
        <v>11.25</v>
      </c>
      <c r="H49">
        <f t="shared" si="3"/>
        <v>0.28575</v>
      </c>
      <c r="I49">
        <v>31.4</v>
      </c>
      <c r="K49">
        <f t="shared" si="20"/>
        <v>17.25</v>
      </c>
      <c r="L49">
        <f t="shared" si="4"/>
        <v>11.25</v>
      </c>
      <c r="M49">
        <f t="shared" si="5"/>
        <v>0.28575</v>
      </c>
      <c r="N49">
        <v>32.799999999999997</v>
      </c>
      <c r="Q49">
        <f t="shared" si="15"/>
        <v>34.5</v>
      </c>
      <c r="R49">
        <f t="shared" si="6"/>
        <v>22.5</v>
      </c>
      <c r="S49">
        <f t="shared" si="7"/>
        <v>0.57150000000000001</v>
      </c>
      <c r="T49">
        <v>35</v>
      </c>
      <c r="V49">
        <f t="shared" si="16"/>
        <v>34.5</v>
      </c>
      <c r="W49">
        <f t="shared" si="8"/>
        <v>22.5</v>
      </c>
      <c r="X49">
        <f t="shared" si="9"/>
        <v>0.57150000000000001</v>
      </c>
      <c r="Y49">
        <v>32.6</v>
      </c>
      <c r="AA49">
        <f t="shared" si="17"/>
        <v>34.5</v>
      </c>
      <c r="AB49">
        <f t="shared" si="10"/>
        <v>22.5</v>
      </c>
      <c r="AC49">
        <f t="shared" si="11"/>
        <v>0.57150000000000001</v>
      </c>
      <c r="AD49">
        <v>33.799999999999997</v>
      </c>
    </row>
    <row r="50" spans="1:30" x14ac:dyDescent="0.5">
      <c r="A50">
        <f t="shared" si="18"/>
        <v>17.5</v>
      </c>
      <c r="B50">
        <f t="shared" si="0"/>
        <v>11.5</v>
      </c>
      <c r="C50">
        <f t="shared" si="1"/>
        <v>0.29209999999999997</v>
      </c>
      <c r="D50">
        <v>33.4</v>
      </c>
      <c r="F50">
        <f t="shared" si="19"/>
        <v>17.5</v>
      </c>
      <c r="G50">
        <f t="shared" si="2"/>
        <v>11.5</v>
      </c>
      <c r="H50">
        <f t="shared" si="3"/>
        <v>0.29209999999999997</v>
      </c>
      <c r="I50">
        <v>32.200000000000003</v>
      </c>
      <c r="K50">
        <f t="shared" si="20"/>
        <v>17.5</v>
      </c>
      <c r="L50">
        <f t="shared" si="4"/>
        <v>11.5</v>
      </c>
      <c r="M50">
        <f t="shared" si="5"/>
        <v>0.29209999999999997</v>
      </c>
      <c r="N50">
        <v>33</v>
      </c>
      <c r="Q50">
        <f t="shared" si="15"/>
        <v>35</v>
      </c>
      <c r="R50">
        <f t="shared" si="6"/>
        <v>23</v>
      </c>
      <c r="S50">
        <f t="shared" si="7"/>
        <v>0.58419999999999994</v>
      </c>
      <c r="T50">
        <v>35.4</v>
      </c>
      <c r="V50">
        <f t="shared" si="16"/>
        <v>35</v>
      </c>
      <c r="W50">
        <f t="shared" si="8"/>
        <v>23</v>
      </c>
      <c r="X50">
        <f t="shared" si="9"/>
        <v>0.58419999999999994</v>
      </c>
      <c r="Y50">
        <v>33.200000000000003</v>
      </c>
      <c r="AA50">
        <f t="shared" si="17"/>
        <v>35</v>
      </c>
      <c r="AB50">
        <f t="shared" si="10"/>
        <v>23</v>
      </c>
      <c r="AC50">
        <f t="shared" si="11"/>
        <v>0.58419999999999994</v>
      </c>
      <c r="AD50">
        <v>34.200000000000003</v>
      </c>
    </row>
    <row r="51" spans="1:30" x14ac:dyDescent="0.5">
      <c r="A51">
        <f t="shared" si="18"/>
        <v>17.75</v>
      </c>
      <c r="B51">
        <f t="shared" si="0"/>
        <v>11.75</v>
      </c>
      <c r="C51">
        <f t="shared" si="1"/>
        <v>0.29844999999999999</v>
      </c>
      <c r="D51">
        <v>33.799999999999997</v>
      </c>
      <c r="F51">
        <f t="shared" si="19"/>
        <v>17.75</v>
      </c>
      <c r="G51">
        <f t="shared" si="2"/>
        <v>11.75</v>
      </c>
      <c r="H51">
        <f t="shared" si="3"/>
        <v>0.29844999999999999</v>
      </c>
      <c r="I51">
        <v>32.6</v>
      </c>
      <c r="K51">
        <f t="shared" si="20"/>
        <v>17.75</v>
      </c>
      <c r="L51">
        <f t="shared" si="4"/>
        <v>11.75</v>
      </c>
      <c r="M51">
        <f t="shared" si="5"/>
        <v>0.29844999999999999</v>
      </c>
      <c r="N51">
        <v>33.6</v>
      </c>
      <c r="Q51">
        <f t="shared" si="15"/>
        <v>35.5</v>
      </c>
      <c r="R51">
        <f t="shared" si="6"/>
        <v>23.5</v>
      </c>
      <c r="S51">
        <f t="shared" si="7"/>
        <v>0.59689999999999999</v>
      </c>
      <c r="T51">
        <v>35.6</v>
      </c>
      <c r="V51">
        <f t="shared" si="16"/>
        <v>35.5</v>
      </c>
      <c r="W51">
        <f t="shared" si="8"/>
        <v>23.5</v>
      </c>
      <c r="X51">
        <f t="shared" si="9"/>
        <v>0.59689999999999999</v>
      </c>
      <c r="Y51">
        <v>33.6</v>
      </c>
      <c r="AA51">
        <f t="shared" si="17"/>
        <v>35.5</v>
      </c>
      <c r="AB51">
        <f t="shared" si="10"/>
        <v>23.5</v>
      </c>
      <c r="AC51">
        <f t="shared" si="11"/>
        <v>0.59689999999999999</v>
      </c>
      <c r="AD51">
        <v>34.799999999999997</v>
      </c>
    </row>
    <row r="52" spans="1:30" x14ac:dyDescent="0.5">
      <c r="A52">
        <f>A51+0.25</f>
        <v>18</v>
      </c>
      <c r="B52">
        <f t="shared" si="0"/>
        <v>12</v>
      </c>
      <c r="C52">
        <f t="shared" si="1"/>
        <v>0.30479999999999996</v>
      </c>
      <c r="D52">
        <v>33.6</v>
      </c>
      <c r="F52">
        <f>F51+0.25</f>
        <v>18</v>
      </c>
      <c r="G52">
        <f t="shared" si="2"/>
        <v>12</v>
      </c>
      <c r="H52">
        <f t="shared" si="3"/>
        <v>0.30479999999999996</v>
      </c>
      <c r="I52">
        <v>33</v>
      </c>
      <c r="K52">
        <f>K51+0.25</f>
        <v>18</v>
      </c>
      <c r="L52">
        <f t="shared" si="4"/>
        <v>12</v>
      </c>
      <c r="M52">
        <f t="shared" si="5"/>
        <v>0.30479999999999996</v>
      </c>
      <c r="N52">
        <v>33.799999999999997</v>
      </c>
      <c r="Q52">
        <f t="shared" si="15"/>
        <v>36</v>
      </c>
      <c r="R52">
        <f t="shared" si="6"/>
        <v>24</v>
      </c>
      <c r="S52">
        <f t="shared" si="7"/>
        <v>0.60959999999999992</v>
      </c>
      <c r="T52">
        <v>36</v>
      </c>
      <c r="V52">
        <f t="shared" si="16"/>
        <v>36</v>
      </c>
      <c r="W52">
        <f t="shared" si="8"/>
        <v>24</v>
      </c>
      <c r="X52">
        <f t="shared" si="9"/>
        <v>0.60959999999999992</v>
      </c>
      <c r="Y52">
        <v>34.200000000000003</v>
      </c>
      <c r="AA52">
        <f t="shared" si="17"/>
        <v>36</v>
      </c>
      <c r="AB52">
        <f t="shared" si="10"/>
        <v>24</v>
      </c>
      <c r="AC52">
        <f t="shared" si="11"/>
        <v>0.60959999999999992</v>
      </c>
      <c r="AD52">
        <v>35.200000000000003</v>
      </c>
    </row>
  </sheetData>
  <mergeCells count="2">
    <mergeCell ref="A1:B1"/>
    <mergeCell ref="Q1:R1"/>
  </mergeCells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12AC-D292-3144-87E2-4DE35F1614FC}">
  <dimension ref="A1:AD52"/>
  <sheetViews>
    <sheetView zoomScale="55" zoomScaleNormal="55" workbookViewId="0">
      <selection activeCell="L3" sqref="L3:M52"/>
    </sheetView>
  </sheetViews>
  <sheetFormatPr defaultColWidth="11" defaultRowHeight="15.75" x14ac:dyDescent="0.5"/>
  <sheetData>
    <row r="1" spans="1:30" x14ac:dyDescent="0.5">
      <c r="A1" s="2" t="s">
        <v>11</v>
      </c>
      <c r="B1" s="2"/>
      <c r="C1" s="1"/>
      <c r="D1" s="1"/>
      <c r="Q1" s="2" t="s">
        <v>12</v>
      </c>
      <c r="R1" s="2"/>
    </row>
    <row r="2" spans="1:30" x14ac:dyDescent="0.5">
      <c r="A2" s="1"/>
      <c r="B2" s="1"/>
      <c r="C2" s="1"/>
      <c r="D2" s="1"/>
    </row>
    <row r="3" spans="1:30" x14ac:dyDescent="0.5">
      <c r="A3" t="s">
        <v>2</v>
      </c>
      <c r="B3" t="s">
        <v>3</v>
      </c>
      <c r="C3" t="s">
        <v>4</v>
      </c>
      <c r="D3" t="s">
        <v>5</v>
      </c>
      <c r="F3" t="s">
        <v>2</v>
      </c>
      <c r="G3" t="s">
        <v>3</v>
      </c>
      <c r="H3" t="s">
        <v>4</v>
      </c>
      <c r="I3" t="s">
        <v>5</v>
      </c>
      <c r="K3" t="s">
        <v>2</v>
      </c>
      <c r="L3" t="s">
        <v>3</v>
      </c>
      <c r="M3" t="s">
        <v>4</v>
      </c>
      <c r="N3" t="s">
        <v>5</v>
      </c>
      <c r="Q3" t="s">
        <v>2</v>
      </c>
      <c r="R3" t="s">
        <v>8</v>
      </c>
      <c r="S3" t="s">
        <v>4</v>
      </c>
      <c r="T3" t="s">
        <v>5</v>
      </c>
      <c r="V3" t="s">
        <v>2</v>
      </c>
      <c r="W3" t="s">
        <v>8</v>
      </c>
      <c r="X3" t="s">
        <v>4</v>
      </c>
      <c r="Y3" t="s">
        <v>5</v>
      </c>
      <c r="AA3" t="s">
        <v>2</v>
      </c>
      <c r="AB3" t="s">
        <v>8</v>
      </c>
      <c r="AC3" t="s">
        <v>4</v>
      </c>
      <c r="AD3" t="s">
        <v>5</v>
      </c>
    </row>
    <row r="4" spans="1:30" x14ac:dyDescent="0.5">
      <c r="A4">
        <v>6</v>
      </c>
      <c r="B4">
        <f>A4-6</f>
        <v>0</v>
      </c>
      <c r="C4">
        <f>B4*0.0254</f>
        <v>0</v>
      </c>
      <c r="D4">
        <v>0</v>
      </c>
      <c r="F4">
        <v>6</v>
      </c>
      <c r="G4">
        <f>F4-6</f>
        <v>0</v>
      </c>
      <c r="H4">
        <f>G4*0.0254</f>
        <v>0</v>
      </c>
      <c r="I4">
        <v>0</v>
      </c>
      <c r="K4">
        <v>6</v>
      </c>
      <c r="L4">
        <f>K4-6</f>
        <v>0</v>
      </c>
      <c r="M4">
        <f>L4*0.0254</f>
        <v>0</v>
      </c>
      <c r="N4">
        <v>0</v>
      </c>
      <c r="Q4">
        <v>12</v>
      </c>
      <c r="R4">
        <f>Q4-12</f>
        <v>0</v>
      </c>
      <c r="S4">
        <f>R4*0.0254</f>
        <v>0</v>
      </c>
      <c r="T4">
        <v>0</v>
      </c>
      <c r="V4">
        <v>12</v>
      </c>
      <c r="W4">
        <f>V4-12</f>
        <v>0</v>
      </c>
      <c r="X4">
        <f>W4*0.0254</f>
        <v>0</v>
      </c>
      <c r="Y4">
        <v>0</v>
      </c>
      <c r="AA4">
        <v>12</v>
      </c>
      <c r="AB4">
        <f>AA4-12</f>
        <v>0</v>
      </c>
      <c r="AC4">
        <f>AB4*0.0254</f>
        <v>0</v>
      </c>
      <c r="AD4">
        <v>0</v>
      </c>
    </row>
    <row r="5" spans="1:30" x14ac:dyDescent="0.5">
      <c r="A5">
        <f>A4+0.25</f>
        <v>6.25</v>
      </c>
      <c r="B5">
        <f t="shared" ref="B5:B52" si="0">A5-6</f>
        <v>0.25</v>
      </c>
      <c r="C5">
        <f t="shared" ref="C5:C52" si="1">B5*0.0254</f>
        <v>6.3499999999999997E-3</v>
      </c>
      <c r="D5">
        <v>2.6</v>
      </c>
      <c r="F5">
        <f>F4+0.25</f>
        <v>6.25</v>
      </c>
      <c r="G5">
        <f t="shared" ref="G5:G52" si="2">F5-6</f>
        <v>0.25</v>
      </c>
      <c r="H5">
        <f t="shared" ref="H5:H52" si="3">G5*0.0254</f>
        <v>6.3499999999999997E-3</v>
      </c>
      <c r="I5">
        <v>3</v>
      </c>
      <c r="K5">
        <f>K4+0.25</f>
        <v>6.25</v>
      </c>
      <c r="L5">
        <f t="shared" ref="L5:L52" si="4">K5-6</f>
        <v>0.25</v>
      </c>
      <c r="M5">
        <f t="shared" ref="M5:M52" si="5">L5*0.0254</f>
        <v>6.3499999999999997E-3</v>
      </c>
      <c r="N5">
        <v>3.2</v>
      </c>
      <c r="Q5">
        <f>Q4+0.5</f>
        <v>12.5</v>
      </c>
      <c r="R5">
        <f t="shared" ref="R5:R52" si="6">Q5-12</f>
        <v>0.5</v>
      </c>
      <c r="S5">
        <f t="shared" ref="S5:S52" si="7">R5*0.0254</f>
        <v>1.2699999999999999E-2</v>
      </c>
      <c r="T5">
        <v>3.8</v>
      </c>
      <c r="V5">
        <f>V4+0.5</f>
        <v>12.5</v>
      </c>
      <c r="W5">
        <f t="shared" ref="W5:W52" si="8">V5-12</f>
        <v>0.5</v>
      </c>
      <c r="X5">
        <f t="shared" ref="X5:X52" si="9">W5*0.0254</f>
        <v>1.2699999999999999E-2</v>
      </c>
      <c r="Y5">
        <v>3</v>
      </c>
      <c r="AA5">
        <f>AA4+0.5</f>
        <v>12.5</v>
      </c>
      <c r="AB5">
        <f t="shared" ref="AB5:AB52" si="10">AA5-12</f>
        <v>0.5</v>
      </c>
      <c r="AC5">
        <f t="shared" ref="AC5:AC52" si="11">AB5*0.0254</f>
        <v>1.2699999999999999E-2</v>
      </c>
      <c r="AD5">
        <v>3</v>
      </c>
    </row>
    <row r="6" spans="1:30" x14ac:dyDescent="0.5">
      <c r="A6">
        <f t="shared" ref="A6:A45" si="12">A5+0.25</f>
        <v>6.5</v>
      </c>
      <c r="B6">
        <f t="shared" si="0"/>
        <v>0.5</v>
      </c>
      <c r="C6">
        <f t="shared" si="1"/>
        <v>1.2699999999999999E-2</v>
      </c>
      <c r="D6">
        <v>5</v>
      </c>
      <c r="F6">
        <f t="shared" ref="F6:F45" si="13">F5+0.25</f>
        <v>6.5</v>
      </c>
      <c r="G6">
        <f t="shared" si="2"/>
        <v>0.5</v>
      </c>
      <c r="H6">
        <f t="shared" si="3"/>
        <v>1.2699999999999999E-2</v>
      </c>
      <c r="I6">
        <v>4.8</v>
      </c>
      <c r="K6">
        <f t="shared" ref="K6:K45" si="14">K5+0.25</f>
        <v>6.5</v>
      </c>
      <c r="L6">
        <f t="shared" si="4"/>
        <v>0.5</v>
      </c>
      <c r="M6">
        <f t="shared" si="5"/>
        <v>1.2699999999999999E-2</v>
      </c>
      <c r="N6">
        <v>4.5999999999999996</v>
      </c>
      <c r="Q6">
        <f t="shared" ref="Q6:Q52" si="15">Q5+0.5</f>
        <v>13</v>
      </c>
      <c r="R6">
        <f t="shared" si="6"/>
        <v>1</v>
      </c>
      <c r="S6">
        <f t="shared" si="7"/>
        <v>2.5399999999999999E-2</v>
      </c>
      <c r="T6">
        <v>6.8</v>
      </c>
      <c r="V6">
        <f t="shared" ref="V6:V52" si="16">V5+0.5</f>
        <v>13</v>
      </c>
      <c r="W6">
        <f t="shared" si="8"/>
        <v>1</v>
      </c>
      <c r="X6">
        <f t="shared" si="9"/>
        <v>2.5399999999999999E-2</v>
      </c>
      <c r="Y6">
        <v>6.4</v>
      </c>
      <c r="AA6">
        <f t="shared" ref="AA6:AA52" si="17">AA5+0.5</f>
        <v>13</v>
      </c>
      <c r="AB6">
        <f t="shared" si="10"/>
        <v>1</v>
      </c>
      <c r="AC6">
        <f t="shared" si="11"/>
        <v>2.5399999999999999E-2</v>
      </c>
      <c r="AD6">
        <v>5.8</v>
      </c>
    </row>
    <row r="7" spans="1:30" x14ac:dyDescent="0.5">
      <c r="A7">
        <f t="shared" si="12"/>
        <v>6.75</v>
      </c>
      <c r="B7">
        <f t="shared" si="0"/>
        <v>0.75</v>
      </c>
      <c r="C7">
        <f t="shared" si="1"/>
        <v>1.9049999999999997E-2</v>
      </c>
      <c r="D7">
        <v>8.4</v>
      </c>
      <c r="F7">
        <f t="shared" si="13"/>
        <v>6.75</v>
      </c>
      <c r="G7">
        <f t="shared" si="2"/>
        <v>0.75</v>
      </c>
      <c r="H7">
        <f t="shared" si="3"/>
        <v>1.9049999999999997E-2</v>
      </c>
      <c r="I7">
        <v>7</v>
      </c>
      <c r="K7">
        <f t="shared" si="14"/>
        <v>6.75</v>
      </c>
      <c r="L7">
        <f t="shared" si="4"/>
        <v>0.75</v>
      </c>
      <c r="M7">
        <f t="shared" si="5"/>
        <v>1.9049999999999997E-2</v>
      </c>
      <c r="N7">
        <v>7.2</v>
      </c>
      <c r="Q7">
        <f t="shared" si="15"/>
        <v>13.5</v>
      </c>
      <c r="R7">
        <f t="shared" si="6"/>
        <v>1.5</v>
      </c>
      <c r="S7">
        <f t="shared" si="7"/>
        <v>3.8099999999999995E-2</v>
      </c>
      <c r="T7">
        <v>10</v>
      </c>
      <c r="V7">
        <f t="shared" si="16"/>
        <v>13.5</v>
      </c>
      <c r="W7">
        <f t="shared" si="8"/>
        <v>1.5</v>
      </c>
      <c r="X7">
        <f t="shared" si="9"/>
        <v>3.8099999999999995E-2</v>
      </c>
      <c r="Y7">
        <v>9.1999999999999993</v>
      </c>
      <c r="AA7">
        <f t="shared" si="17"/>
        <v>13.5</v>
      </c>
      <c r="AB7">
        <f t="shared" si="10"/>
        <v>1.5</v>
      </c>
      <c r="AC7">
        <f t="shared" si="11"/>
        <v>3.8099999999999995E-2</v>
      </c>
      <c r="AD7">
        <v>6.8</v>
      </c>
    </row>
    <row r="8" spans="1:30" x14ac:dyDescent="0.5">
      <c r="A8">
        <f t="shared" si="12"/>
        <v>7</v>
      </c>
      <c r="B8">
        <f t="shared" si="0"/>
        <v>1</v>
      </c>
      <c r="C8">
        <f t="shared" si="1"/>
        <v>2.5399999999999999E-2</v>
      </c>
      <c r="D8">
        <v>9.8000000000000007</v>
      </c>
      <c r="F8">
        <f t="shared" si="13"/>
        <v>7</v>
      </c>
      <c r="G8">
        <f t="shared" si="2"/>
        <v>1</v>
      </c>
      <c r="H8">
        <f t="shared" si="3"/>
        <v>2.5399999999999999E-2</v>
      </c>
      <c r="I8">
        <v>8.8000000000000007</v>
      </c>
      <c r="K8">
        <f t="shared" si="14"/>
        <v>7</v>
      </c>
      <c r="L8">
        <f t="shared" si="4"/>
        <v>1</v>
      </c>
      <c r="M8">
        <f t="shared" si="5"/>
        <v>2.5399999999999999E-2</v>
      </c>
      <c r="N8">
        <v>9</v>
      </c>
      <c r="Q8">
        <f t="shared" si="15"/>
        <v>14</v>
      </c>
      <c r="R8">
        <f t="shared" si="6"/>
        <v>2</v>
      </c>
      <c r="S8">
        <f t="shared" si="7"/>
        <v>5.0799999999999998E-2</v>
      </c>
      <c r="T8">
        <v>13</v>
      </c>
      <c r="V8">
        <f t="shared" si="16"/>
        <v>14</v>
      </c>
      <c r="W8">
        <f t="shared" si="8"/>
        <v>2</v>
      </c>
      <c r="X8">
        <f t="shared" si="9"/>
        <v>5.0799999999999998E-2</v>
      </c>
      <c r="Y8">
        <v>10.4</v>
      </c>
      <c r="AA8">
        <f t="shared" si="17"/>
        <v>14</v>
      </c>
      <c r="AB8">
        <f t="shared" si="10"/>
        <v>2</v>
      </c>
      <c r="AC8">
        <f t="shared" si="11"/>
        <v>5.0799999999999998E-2</v>
      </c>
      <c r="AD8">
        <v>7.8</v>
      </c>
    </row>
    <row r="9" spans="1:30" x14ac:dyDescent="0.5">
      <c r="A9">
        <f t="shared" si="12"/>
        <v>7.25</v>
      </c>
      <c r="B9">
        <f t="shared" si="0"/>
        <v>1.25</v>
      </c>
      <c r="C9">
        <f t="shared" si="1"/>
        <v>3.175E-2</v>
      </c>
      <c r="D9">
        <v>13.4</v>
      </c>
      <c r="F9">
        <f t="shared" si="13"/>
        <v>7.25</v>
      </c>
      <c r="G9">
        <f t="shared" si="2"/>
        <v>1.25</v>
      </c>
      <c r="H9">
        <f t="shared" si="3"/>
        <v>3.175E-2</v>
      </c>
      <c r="I9">
        <v>11.8</v>
      </c>
      <c r="K9">
        <f t="shared" si="14"/>
        <v>7.25</v>
      </c>
      <c r="L9">
        <f t="shared" si="4"/>
        <v>1.25</v>
      </c>
      <c r="M9">
        <f t="shared" si="5"/>
        <v>3.175E-2</v>
      </c>
      <c r="N9">
        <v>10.8</v>
      </c>
      <c r="Q9">
        <f t="shared" si="15"/>
        <v>14.5</v>
      </c>
      <c r="R9">
        <f t="shared" si="6"/>
        <v>2.5</v>
      </c>
      <c r="S9">
        <f t="shared" si="7"/>
        <v>6.3500000000000001E-2</v>
      </c>
      <c r="T9">
        <v>15.8</v>
      </c>
      <c r="V9">
        <f t="shared" si="16"/>
        <v>14.5</v>
      </c>
      <c r="W9">
        <f t="shared" si="8"/>
        <v>2.5</v>
      </c>
      <c r="X9">
        <f t="shared" si="9"/>
        <v>6.3500000000000001E-2</v>
      </c>
      <c r="Y9">
        <v>12.4</v>
      </c>
      <c r="AA9">
        <f t="shared" si="17"/>
        <v>14.5</v>
      </c>
      <c r="AB9">
        <f t="shared" si="10"/>
        <v>2.5</v>
      </c>
      <c r="AC9">
        <f t="shared" si="11"/>
        <v>6.3500000000000001E-2</v>
      </c>
      <c r="AD9">
        <v>10</v>
      </c>
    </row>
    <row r="10" spans="1:30" x14ac:dyDescent="0.5">
      <c r="A10">
        <f t="shared" si="12"/>
        <v>7.5</v>
      </c>
      <c r="B10">
        <f t="shared" si="0"/>
        <v>1.5</v>
      </c>
      <c r="C10">
        <f t="shared" si="1"/>
        <v>3.8099999999999995E-2</v>
      </c>
      <c r="D10">
        <v>14.6</v>
      </c>
      <c r="F10">
        <f t="shared" si="13"/>
        <v>7.5</v>
      </c>
      <c r="G10">
        <f t="shared" si="2"/>
        <v>1.5</v>
      </c>
      <c r="H10">
        <f t="shared" si="3"/>
        <v>3.8099999999999995E-2</v>
      </c>
      <c r="I10">
        <v>13.2</v>
      </c>
      <c r="K10">
        <f t="shared" si="14"/>
        <v>7.5</v>
      </c>
      <c r="L10">
        <f t="shared" si="4"/>
        <v>1.5</v>
      </c>
      <c r="M10">
        <f t="shared" si="5"/>
        <v>3.8099999999999995E-2</v>
      </c>
      <c r="N10">
        <v>12.8</v>
      </c>
      <c r="Q10">
        <f t="shared" si="15"/>
        <v>15</v>
      </c>
      <c r="R10">
        <f t="shared" si="6"/>
        <v>3</v>
      </c>
      <c r="S10">
        <f t="shared" si="7"/>
        <v>7.619999999999999E-2</v>
      </c>
      <c r="T10">
        <v>16.399999999999999</v>
      </c>
      <c r="V10">
        <f t="shared" si="16"/>
        <v>15</v>
      </c>
      <c r="W10">
        <f t="shared" si="8"/>
        <v>3</v>
      </c>
      <c r="X10">
        <f t="shared" si="9"/>
        <v>7.619999999999999E-2</v>
      </c>
      <c r="Y10">
        <v>14.6</v>
      </c>
      <c r="AA10">
        <f t="shared" si="17"/>
        <v>15</v>
      </c>
      <c r="AB10">
        <f t="shared" si="10"/>
        <v>3</v>
      </c>
      <c r="AC10">
        <f t="shared" si="11"/>
        <v>7.619999999999999E-2</v>
      </c>
      <c r="AD10">
        <v>12.2</v>
      </c>
    </row>
    <row r="11" spans="1:30" x14ac:dyDescent="0.5">
      <c r="A11">
        <f t="shared" si="12"/>
        <v>7.75</v>
      </c>
      <c r="B11">
        <f t="shared" si="0"/>
        <v>1.75</v>
      </c>
      <c r="C11">
        <f t="shared" si="1"/>
        <v>4.4449999999999996E-2</v>
      </c>
      <c r="D11">
        <v>16.2</v>
      </c>
      <c r="F11">
        <f t="shared" si="13"/>
        <v>7.75</v>
      </c>
      <c r="G11">
        <f t="shared" si="2"/>
        <v>1.75</v>
      </c>
      <c r="H11">
        <f t="shared" si="3"/>
        <v>4.4449999999999996E-2</v>
      </c>
      <c r="I11">
        <v>15.4</v>
      </c>
      <c r="K11">
        <f t="shared" si="14"/>
        <v>7.75</v>
      </c>
      <c r="L11">
        <f t="shared" si="4"/>
        <v>1.75</v>
      </c>
      <c r="M11">
        <f t="shared" si="5"/>
        <v>4.4449999999999996E-2</v>
      </c>
      <c r="N11">
        <v>13.8</v>
      </c>
      <c r="Q11">
        <f t="shared" si="15"/>
        <v>15.5</v>
      </c>
      <c r="R11">
        <f t="shared" si="6"/>
        <v>3.5</v>
      </c>
      <c r="S11">
        <f t="shared" si="7"/>
        <v>8.8899999999999993E-2</v>
      </c>
      <c r="T11">
        <v>17.8</v>
      </c>
      <c r="V11">
        <f t="shared" si="16"/>
        <v>15.5</v>
      </c>
      <c r="W11">
        <f t="shared" si="8"/>
        <v>3.5</v>
      </c>
      <c r="X11">
        <f t="shared" si="9"/>
        <v>8.8899999999999993E-2</v>
      </c>
      <c r="Y11">
        <v>16.399999999999999</v>
      </c>
      <c r="AA11">
        <f t="shared" si="17"/>
        <v>15.5</v>
      </c>
      <c r="AB11">
        <f t="shared" si="10"/>
        <v>3.5</v>
      </c>
      <c r="AC11">
        <f t="shared" si="11"/>
        <v>8.8899999999999993E-2</v>
      </c>
      <c r="AD11">
        <v>14.2</v>
      </c>
    </row>
    <row r="12" spans="1:30" x14ac:dyDescent="0.5">
      <c r="A12">
        <f t="shared" si="12"/>
        <v>8</v>
      </c>
      <c r="B12">
        <f t="shared" si="0"/>
        <v>2</v>
      </c>
      <c r="C12">
        <f t="shared" si="1"/>
        <v>5.0799999999999998E-2</v>
      </c>
      <c r="D12">
        <v>18.8</v>
      </c>
      <c r="F12">
        <f t="shared" si="13"/>
        <v>8</v>
      </c>
      <c r="G12">
        <f t="shared" si="2"/>
        <v>2</v>
      </c>
      <c r="H12">
        <f t="shared" si="3"/>
        <v>5.0799999999999998E-2</v>
      </c>
      <c r="I12">
        <v>16.2</v>
      </c>
      <c r="K12">
        <f t="shared" si="14"/>
        <v>8</v>
      </c>
      <c r="L12">
        <f t="shared" si="4"/>
        <v>2</v>
      </c>
      <c r="M12">
        <f t="shared" si="5"/>
        <v>5.0799999999999998E-2</v>
      </c>
      <c r="N12">
        <v>15.4</v>
      </c>
      <c r="Q12">
        <f t="shared" si="15"/>
        <v>16</v>
      </c>
      <c r="R12">
        <f t="shared" si="6"/>
        <v>4</v>
      </c>
      <c r="S12">
        <f t="shared" si="7"/>
        <v>0.1016</v>
      </c>
      <c r="T12">
        <v>19.8</v>
      </c>
      <c r="V12">
        <f t="shared" si="16"/>
        <v>16</v>
      </c>
      <c r="W12">
        <f t="shared" si="8"/>
        <v>4</v>
      </c>
      <c r="X12">
        <f t="shared" si="9"/>
        <v>0.1016</v>
      </c>
      <c r="Y12">
        <v>17.2</v>
      </c>
      <c r="AA12">
        <f t="shared" si="17"/>
        <v>16</v>
      </c>
      <c r="AB12">
        <f t="shared" si="10"/>
        <v>4</v>
      </c>
      <c r="AC12">
        <f t="shared" si="11"/>
        <v>0.1016</v>
      </c>
      <c r="AD12">
        <v>15.8</v>
      </c>
    </row>
    <row r="13" spans="1:30" x14ac:dyDescent="0.5">
      <c r="A13">
        <f t="shared" si="12"/>
        <v>8.25</v>
      </c>
      <c r="B13">
        <f t="shared" si="0"/>
        <v>2.25</v>
      </c>
      <c r="C13">
        <f t="shared" si="1"/>
        <v>5.7149999999999999E-2</v>
      </c>
      <c r="D13">
        <v>19</v>
      </c>
      <c r="F13">
        <f t="shared" si="13"/>
        <v>8.25</v>
      </c>
      <c r="G13">
        <f t="shared" si="2"/>
        <v>2.25</v>
      </c>
      <c r="H13">
        <f t="shared" si="3"/>
        <v>5.7149999999999999E-2</v>
      </c>
      <c r="I13">
        <v>17.600000000000001</v>
      </c>
      <c r="K13">
        <f t="shared" si="14"/>
        <v>8.25</v>
      </c>
      <c r="L13">
        <f t="shared" si="4"/>
        <v>2.25</v>
      </c>
      <c r="M13">
        <f t="shared" si="5"/>
        <v>5.7149999999999999E-2</v>
      </c>
      <c r="N13">
        <v>17</v>
      </c>
      <c r="Q13">
        <f t="shared" si="15"/>
        <v>16.5</v>
      </c>
      <c r="R13">
        <f t="shared" si="6"/>
        <v>4.5</v>
      </c>
      <c r="S13">
        <f t="shared" si="7"/>
        <v>0.1143</v>
      </c>
      <c r="T13">
        <v>21.8</v>
      </c>
      <c r="V13">
        <f t="shared" si="16"/>
        <v>16.5</v>
      </c>
      <c r="W13">
        <f t="shared" si="8"/>
        <v>4.5</v>
      </c>
      <c r="X13">
        <f t="shared" si="9"/>
        <v>0.1143</v>
      </c>
      <c r="Y13">
        <v>19.2</v>
      </c>
      <c r="AA13">
        <f t="shared" si="17"/>
        <v>16.5</v>
      </c>
      <c r="AB13">
        <f t="shared" si="10"/>
        <v>4.5</v>
      </c>
      <c r="AC13">
        <f t="shared" si="11"/>
        <v>0.1143</v>
      </c>
      <c r="AD13">
        <v>17.399999999999999</v>
      </c>
    </row>
    <row r="14" spans="1:30" x14ac:dyDescent="0.5">
      <c r="A14">
        <f t="shared" si="12"/>
        <v>8.5</v>
      </c>
      <c r="B14">
        <f t="shared" si="0"/>
        <v>2.5</v>
      </c>
      <c r="C14">
        <f t="shared" si="1"/>
        <v>6.3500000000000001E-2</v>
      </c>
      <c r="D14">
        <v>21</v>
      </c>
      <c r="F14">
        <f t="shared" si="13"/>
        <v>8.5</v>
      </c>
      <c r="G14">
        <f t="shared" si="2"/>
        <v>2.5</v>
      </c>
      <c r="H14">
        <f t="shared" si="3"/>
        <v>6.3500000000000001E-2</v>
      </c>
      <c r="I14">
        <v>18.2</v>
      </c>
      <c r="K14">
        <f t="shared" si="14"/>
        <v>8.5</v>
      </c>
      <c r="L14">
        <f t="shared" si="4"/>
        <v>2.5</v>
      </c>
      <c r="M14">
        <f t="shared" si="5"/>
        <v>6.3500000000000001E-2</v>
      </c>
      <c r="N14">
        <v>18.399999999999999</v>
      </c>
      <c r="Q14">
        <f t="shared" si="15"/>
        <v>17</v>
      </c>
      <c r="R14">
        <f t="shared" si="6"/>
        <v>5</v>
      </c>
      <c r="S14">
        <f t="shared" si="7"/>
        <v>0.127</v>
      </c>
      <c r="T14">
        <v>22.8</v>
      </c>
      <c r="V14">
        <f t="shared" si="16"/>
        <v>17</v>
      </c>
      <c r="W14">
        <f t="shared" si="8"/>
        <v>5</v>
      </c>
      <c r="X14">
        <f t="shared" si="9"/>
        <v>0.127</v>
      </c>
      <c r="Y14">
        <v>20.6</v>
      </c>
      <c r="AA14">
        <f t="shared" si="17"/>
        <v>17</v>
      </c>
      <c r="AB14">
        <f t="shared" si="10"/>
        <v>5</v>
      </c>
      <c r="AC14">
        <f t="shared" si="11"/>
        <v>0.127</v>
      </c>
      <c r="AD14">
        <v>19.2</v>
      </c>
    </row>
    <row r="15" spans="1:30" x14ac:dyDescent="0.5">
      <c r="A15">
        <f t="shared" si="12"/>
        <v>8.75</v>
      </c>
      <c r="B15">
        <f t="shared" si="0"/>
        <v>2.75</v>
      </c>
      <c r="C15">
        <f t="shared" si="1"/>
        <v>6.9849999999999995E-2</v>
      </c>
      <c r="D15">
        <v>24.2</v>
      </c>
      <c r="F15">
        <f t="shared" si="13"/>
        <v>8.75</v>
      </c>
      <c r="G15">
        <f t="shared" si="2"/>
        <v>2.75</v>
      </c>
      <c r="H15">
        <f t="shared" si="3"/>
        <v>6.9849999999999995E-2</v>
      </c>
      <c r="I15">
        <v>20.2</v>
      </c>
      <c r="K15">
        <f t="shared" si="14"/>
        <v>8.75</v>
      </c>
      <c r="L15">
        <f t="shared" si="4"/>
        <v>2.75</v>
      </c>
      <c r="M15">
        <f t="shared" si="5"/>
        <v>6.9849999999999995E-2</v>
      </c>
      <c r="N15">
        <v>18.399999999999999</v>
      </c>
      <c r="Q15">
        <f t="shared" si="15"/>
        <v>17.5</v>
      </c>
      <c r="R15">
        <f t="shared" si="6"/>
        <v>5.5</v>
      </c>
      <c r="S15">
        <f t="shared" si="7"/>
        <v>0.13969999999999999</v>
      </c>
      <c r="T15">
        <v>24.2</v>
      </c>
      <c r="V15">
        <f t="shared" si="16"/>
        <v>17.5</v>
      </c>
      <c r="W15">
        <f t="shared" si="8"/>
        <v>5.5</v>
      </c>
      <c r="X15">
        <f t="shared" si="9"/>
        <v>0.13969999999999999</v>
      </c>
      <c r="Y15">
        <v>21.6</v>
      </c>
      <c r="AA15">
        <f t="shared" si="17"/>
        <v>17.5</v>
      </c>
      <c r="AB15">
        <f t="shared" si="10"/>
        <v>5.5</v>
      </c>
      <c r="AC15">
        <f t="shared" si="11"/>
        <v>0.13969999999999999</v>
      </c>
      <c r="AD15">
        <v>19.8</v>
      </c>
    </row>
    <row r="16" spans="1:30" x14ac:dyDescent="0.5">
      <c r="A16">
        <f t="shared" si="12"/>
        <v>9</v>
      </c>
      <c r="B16">
        <f t="shared" si="0"/>
        <v>3</v>
      </c>
      <c r="C16">
        <f t="shared" si="1"/>
        <v>7.619999999999999E-2</v>
      </c>
      <c r="D16">
        <v>25.6</v>
      </c>
      <c r="F16">
        <f t="shared" si="13"/>
        <v>9</v>
      </c>
      <c r="G16">
        <f t="shared" si="2"/>
        <v>3</v>
      </c>
      <c r="H16">
        <f t="shared" si="3"/>
        <v>7.619999999999999E-2</v>
      </c>
      <c r="I16">
        <v>21</v>
      </c>
      <c r="K16">
        <f t="shared" si="14"/>
        <v>9</v>
      </c>
      <c r="L16">
        <f t="shared" si="4"/>
        <v>3</v>
      </c>
      <c r="M16">
        <f t="shared" si="5"/>
        <v>7.619999999999999E-2</v>
      </c>
      <c r="N16">
        <v>21.2</v>
      </c>
      <c r="Q16">
        <f t="shared" si="15"/>
        <v>18</v>
      </c>
      <c r="R16">
        <f t="shared" si="6"/>
        <v>6</v>
      </c>
      <c r="S16">
        <f t="shared" si="7"/>
        <v>0.15239999999999998</v>
      </c>
      <c r="T16">
        <v>25.2</v>
      </c>
      <c r="V16">
        <f t="shared" si="16"/>
        <v>18</v>
      </c>
      <c r="W16">
        <f t="shared" si="8"/>
        <v>6</v>
      </c>
      <c r="X16">
        <f t="shared" si="9"/>
        <v>0.15239999999999998</v>
      </c>
      <c r="Y16">
        <v>23</v>
      </c>
      <c r="AA16">
        <f t="shared" si="17"/>
        <v>18</v>
      </c>
      <c r="AB16">
        <f t="shared" si="10"/>
        <v>6</v>
      </c>
      <c r="AC16">
        <f t="shared" si="11"/>
        <v>0.15239999999999998</v>
      </c>
      <c r="AD16">
        <v>21.2</v>
      </c>
    </row>
    <row r="17" spans="1:30" x14ac:dyDescent="0.5">
      <c r="A17">
        <f t="shared" si="12"/>
        <v>9.25</v>
      </c>
      <c r="B17">
        <f t="shared" si="0"/>
        <v>3.25</v>
      </c>
      <c r="C17">
        <f t="shared" si="1"/>
        <v>8.2549999999999998E-2</v>
      </c>
      <c r="D17">
        <v>26.4</v>
      </c>
      <c r="F17">
        <f t="shared" si="13"/>
        <v>9.25</v>
      </c>
      <c r="G17">
        <f t="shared" si="2"/>
        <v>3.25</v>
      </c>
      <c r="H17">
        <f t="shared" si="3"/>
        <v>8.2549999999999998E-2</v>
      </c>
      <c r="I17">
        <v>22.2</v>
      </c>
      <c r="K17">
        <f t="shared" si="14"/>
        <v>9.25</v>
      </c>
      <c r="L17">
        <f t="shared" si="4"/>
        <v>3.25</v>
      </c>
      <c r="M17">
        <f t="shared" si="5"/>
        <v>8.2549999999999998E-2</v>
      </c>
      <c r="N17">
        <v>22</v>
      </c>
      <c r="Q17">
        <f t="shared" si="15"/>
        <v>18.5</v>
      </c>
      <c r="R17">
        <f t="shared" si="6"/>
        <v>6.5</v>
      </c>
      <c r="S17">
        <f t="shared" si="7"/>
        <v>0.1651</v>
      </c>
      <c r="T17">
        <v>26.4</v>
      </c>
      <c r="V17">
        <f t="shared" si="16"/>
        <v>18.5</v>
      </c>
      <c r="W17">
        <f t="shared" si="8"/>
        <v>6.5</v>
      </c>
      <c r="X17">
        <f t="shared" si="9"/>
        <v>0.1651</v>
      </c>
      <c r="Y17">
        <v>24</v>
      </c>
      <c r="AA17">
        <f t="shared" si="17"/>
        <v>18.5</v>
      </c>
      <c r="AB17">
        <f t="shared" si="10"/>
        <v>6.5</v>
      </c>
      <c r="AC17">
        <f t="shared" si="11"/>
        <v>0.1651</v>
      </c>
      <c r="AD17">
        <v>22.4</v>
      </c>
    </row>
    <row r="18" spans="1:30" x14ac:dyDescent="0.5">
      <c r="A18">
        <f t="shared" si="12"/>
        <v>9.5</v>
      </c>
      <c r="B18">
        <f t="shared" si="0"/>
        <v>3.5</v>
      </c>
      <c r="C18">
        <f t="shared" si="1"/>
        <v>8.8899999999999993E-2</v>
      </c>
      <c r="D18">
        <v>27.4</v>
      </c>
      <c r="F18">
        <f t="shared" si="13"/>
        <v>9.5</v>
      </c>
      <c r="G18">
        <f t="shared" si="2"/>
        <v>3.5</v>
      </c>
      <c r="H18">
        <f t="shared" si="3"/>
        <v>8.8899999999999993E-2</v>
      </c>
      <c r="I18">
        <v>23.6</v>
      </c>
      <c r="K18">
        <f t="shared" si="14"/>
        <v>9.5</v>
      </c>
      <c r="L18">
        <f t="shared" si="4"/>
        <v>3.5</v>
      </c>
      <c r="M18">
        <f t="shared" si="5"/>
        <v>8.8899999999999993E-2</v>
      </c>
      <c r="N18">
        <v>23.4</v>
      </c>
      <c r="Q18">
        <f t="shared" si="15"/>
        <v>19</v>
      </c>
      <c r="R18">
        <f t="shared" si="6"/>
        <v>7</v>
      </c>
      <c r="S18">
        <f t="shared" si="7"/>
        <v>0.17779999999999999</v>
      </c>
      <c r="T18">
        <v>27.8</v>
      </c>
      <c r="V18">
        <f t="shared" si="16"/>
        <v>19</v>
      </c>
      <c r="W18">
        <f t="shared" si="8"/>
        <v>7</v>
      </c>
      <c r="X18">
        <f t="shared" si="9"/>
        <v>0.17779999999999999</v>
      </c>
      <c r="Y18">
        <v>25</v>
      </c>
      <c r="AA18">
        <f t="shared" si="17"/>
        <v>19</v>
      </c>
      <c r="AB18">
        <f t="shared" si="10"/>
        <v>7</v>
      </c>
      <c r="AC18">
        <f t="shared" si="11"/>
        <v>0.17779999999999999</v>
      </c>
      <c r="AD18">
        <v>23.2</v>
      </c>
    </row>
    <row r="19" spans="1:30" x14ac:dyDescent="0.5">
      <c r="A19">
        <f t="shared" si="12"/>
        <v>9.75</v>
      </c>
      <c r="B19">
        <f t="shared" si="0"/>
        <v>3.75</v>
      </c>
      <c r="C19">
        <f t="shared" si="1"/>
        <v>9.5250000000000001E-2</v>
      </c>
      <c r="D19">
        <v>28.4</v>
      </c>
      <c r="F19">
        <f t="shared" si="13"/>
        <v>9.75</v>
      </c>
      <c r="G19">
        <f t="shared" si="2"/>
        <v>3.75</v>
      </c>
      <c r="H19">
        <f t="shared" si="3"/>
        <v>9.5250000000000001E-2</v>
      </c>
      <c r="I19">
        <v>24.6</v>
      </c>
      <c r="K19">
        <f t="shared" si="14"/>
        <v>9.75</v>
      </c>
      <c r="L19">
        <f t="shared" si="4"/>
        <v>3.75</v>
      </c>
      <c r="M19">
        <f t="shared" si="5"/>
        <v>9.5250000000000001E-2</v>
      </c>
      <c r="N19">
        <v>24</v>
      </c>
      <c r="Q19">
        <f t="shared" si="15"/>
        <v>19.5</v>
      </c>
      <c r="R19">
        <f t="shared" si="6"/>
        <v>7.5</v>
      </c>
      <c r="S19">
        <f>R19*0.0254</f>
        <v>0.1905</v>
      </c>
      <c r="T19">
        <v>29</v>
      </c>
      <c r="V19">
        <f t="shared" si="16"/>
        <v>19.5</v>
      </c>
      <c r="W19">
        <f t="shared" si="8"/>
        <v>7.5</v>
      </c>
      <c r="X19">
        <f>W19*0.0254</f>
        <v>0.1905</v>
      </c>
      <c r="Y19">
        <v>26</v>
      </c>
      <c r="AA19">
        <f t="shared" si="17"/>
        <v>19.5</v>
      </c>
      <c r="AB19">
        <f t="shared" si="10"/>
        <v>7.5</v>
      </c>
      <c r="AC19">
        <f>AB19*0.0254</f>
        <v>0.1905</v>
      </c>
      <c r="AD19">
        <v>24.8</v>
      </c>
    </row>
    <row r="20" spans="1:30" x14ac:dyDescent="0.5">
      <c r="A20">
        <f t="shared" si="12"/>
        <v>10</v>
      </c>
      <c r="B20">
        <f t="shared" si="0"/>
        <v>4</v>
      </c>
      <c r="C20">
        <f t="shared" si="1"/>
        <v>0.1016</v>
      </c>
      <c r="D20">
        <v>29</v>
      </c>
      <c r="F20">
        <f t="shared" si="13"/>
        <v>10</v>
      </c>
      <c r="G20">
        <f t="shared" si="2"/>
        <v>4</v>
      </c>
      <c r="H20">
        <f t="shared" si="3"/>
        <v>0.1016</v>
      </c>
      <c r="I20">
        <v>25.2</v>
      </c>
      <c r="K20">
        <f t="shared" si="14"/>
        <v>10</v>
      </c>
      <c r="L20">
        <f t="shared" si="4"/>
        <v>4</v>
      </c>
      <c r="M20">
        <f t="shared" si="5"/>
        <v>0.1016</v>
      </c>
      <c r="N20">
        <v>25</v>
      </c>
      <c r="Q20">
        <f t="shared" si="15"/>
        <v>20</v>
      </c>
      <c r="R20">
        <f t="shared" si="6"/>
        <v>8</v>
      </c>
      <c r="S20">
        <f t="shared" si="7"/>
        <v>0.20319999999999999</v>
      </c>
      <c r="T20">
        <v>29.8</v>
      </c>
      <c r="V20">
        <f t="shared" si="16"/>
        <v>20</v>
      </c>
      <c r="W20">
        <f t="shared" si="8"/>
        <v>8</v>
      </c>
      <c r="X20">
        <f t="shared" si="9"/>
        <v>0.20319999999999999</v>
      </c>
      <c r="Y20">
        <v>27.2</v>
      </c>
      <c r="AA20">
        <f t="shared" si="17"/>
        <v>20</v>
      </c>
      <c r="AB20">
        <f t="shared" si="10"/>
        <v>8</v>
      </c>
      <c r="AC20">
        <f t="shared" si="11"/>
        <v>0.20319999999999999</v>
      </c>
      <c r="AD20">
        <v>25.6</v>
      </c>
    </row>
    <row r="21" spans="1:30" x14ac:dyDescent="0.5">
      <c r="A21">
        <f t="shared" si="12"/>
        <v>10.25</v>
      </c>
      <c r="B21">
        <f t="shared" si="0"/>
        <v>4.25</v>
      </c>
      <c r="C21">
        <f t="shared" si="1"/>
        <v>0.10794999999999999</v>
      </c>
      <c r="D21">
        <v>30</v>
      </c>
      <c r="F21">
        <f t="shared" si="13"/>
        <v>10.25</v>
      </c>
      <c r="G21">
        <f t="shared" si="2"/>
        <v>4.25</v>
      </c>
      <c r="H21">
        <f t="shared" si="3"/>
        <v>0.10794999999999999</v>
      </c>
      <c r="I21">
        <v>26.4</v>
      </c>
      <c r="K21">
        <f t="shared" si="14"/>
        <v>10.25</v>
      </c>
      <c r="L21">
        <f t="shared" si="4"/>
        <v>4.25</v>
      </c>
      <c r="M21">
        <f t="shared" si="5"/>
        <v>0.10794999999999999</v>
      </c>
      <c r="N21">
        <v>26</v>
      </c>
      <c r="Q21">
        <f t="shared" si="15"/>
        <v>20.5</v>
      </c>
      <c r="R21">
        <f t="shared" si="6"/>
        <v>8.5</v>
      </c>
      <c r="S21">
        <f t="shared" si="7"/>
        <v>0.21589999999999998</v>
      </c>
      <c r="T21">
        <v>31</v>
      </c>
      <c r="V21">
        <f t="shared" si="16"/>
        <v>20.5</v>
      </c>
      <c r="W21">
        <f t="shared" si="8"/>
        <v>8.5</v>
      </c>
      <c r="X21">
        <f t="shared" si="9"/>
        <v>0.21589999999999998</v>
      </c>
      <c r="Y21">
        <v>28</v>
      </c>
      <c r="AA21">
        <f t="shared" si="17"/>
        <v>20.5</v>
      </c>
      <c r="AB21">
        <f t="shared" si="10"/>
        <v>8.5</v>
      </c>
      <c r="AC21">
        <f t="shared" si="11"/>
        <v>0.21589999999999998</v>
      </c>
      <c r="AD21">
        <v>26.6</v>
      </c>
    </row>
    <row r="22" spans="1:30" x14ac:dyDescent="0.5">
      <c r="A22">
        <f t="shared" si="12"/>
        <v>10.5</v>
      </c>
      <c r="B22">
        <f t="shared" si="0"/>
        <v>4.5</v>
      </c>
      <c r="C22">
        <f t="shared" si="1"/>
        <v>0.1143</v>
      </c>
      <c r="D22">
        <v>31.2</v>
      </c>
      <c r="F22">
        <f t="shared" si="13"/>
        <v>10.5</v>
      </c>
      <c r="G22">
        <f t="shared" si="2"/>
        <v>4.5</v>
      </c>
      <c r="H22">
        <f t="shared" si="3"/>
        <v>0.1143</v>
      </c>
      <c r="I22">
        <v>27</v>
      </c>
      <c r="K22">
        <f t="shared" si="14"/>
        <v>10.5</v>
      </c>
      <c r="L22">
        <f t="shared" si="4"/>
        <v>4.5</v>
      </c>
      <c r="M22">
        <f t="shared" si="5"/>
        <v>0.1143</v>
      </c>
      <c r="N22">
        <v>26.8</v>
      </c>
      <c r="Q22">
        <f t="shared" si="15"/>
        <v>21</v>
      </c>
      <c r="R22">
        <f t="shared" si="6"/>
        <v>9</v>
      </c>
      <c r="S22">
        <f t="shared" si="7"/>
        <v>0.2286</v>
      </c>
      <c r="T22">
        <v>31.8</v>
      </c>
      <c r="V22">
        <f t="shared" si="16"/>
        <v>21</v>
      </c>
      <c r="W22">
        <f t="shared" si="8"/>
        <v>9</v>
      </c>
      <c r="X22">
        <f t="shared" si="9"/>
        <v>0.2286</v>
      </c>
      <c r="Y22">
        <v>29</v>
      </c>
      <c r="AA22">
        <f t="shared" si="17"/>
        <v>21</v>
      </c>
      <c r="AB22">
        <f t="shared" si="10"/>
        <v>9</v>
      </c>
      <c r="AC22">
        <f t="shared" si="11"/>
        <v>0.2286</v>
      </c>
      <c r="AD22">
        <v>27.4</v>
      </c>
    </row>
    <row r="23" spans="1:30" x14ac:dyDescent="0.5">
      <c r="A23">
        <f t="shared" si="12"/>
        <v>10.75</v>
      </c>
      <c r="B23">
        <f t="shared" si="0"/>
        <v>4.75</v>
      </c>
      <c r="C23">
        <f t="shared" si="1"/>
        <v>0.12064999999999999</v>
      </c>
      <c r="D23">
        <v>32.799999999999997</v>
      </c>
      <c r="F23">
        <f t="shared" si="13"/>
        <v>10.75</v>
      </c>
      <c r="G23">
        <f t="shared" si="2"/>
        <v>4.75</v>
      </c>
      <c r="H23">
        <f t="shared" si="3"/>
        <v>0.12064999999999999</v>
      </c>
      <c r="I23">
        <v>28</v>
      </c>
      <c r="K23">
        <f t="shared" si="14"/>
        <v>10.75</v>
      </c>
      <c r="L23">
        <f t="shared" si="4"/>
        <v>4.75</v>
      </c>
      <c r="M23">
        <f t="shared" si="5"/>
        <v>0.12064999999999999</v>
      </c>
      <c r="N23">
        <v>27.8</v>
      </c>
      <c r="Q23">
        <f t="shared" si="15"/>
        <v>21.5</v>
      </c>
      <c r="R23">
        <f t="shared" si="6"/>
        <v>9.5</v>
      </c>
      <c r="S23">
        <f t="shared" si="7"/>
        <v>0.24129999999999999</v>
      </c>
      <c r="T23">
        <v>32.799999999999997</v>
      </c>
      <c r="V23">
        <f t="shared" si="16"/>
        <v>21.5</v>
      </c>
      <c r="W23">
        <f t="shared" si="8"/>
        <v>9.5</v>
      </c>
      <c r="X23">
        <f t="shared" si="9"/>
        <v>0.24129999999999999</v>
      </c>
      <c r="Y23">
        <v>29.8</v>
      </c>
      <c r="AA23">
        <f t="shared" si="17"/>
        <v>21.5</v>
      </c>
      <c r="AB23">
        <f t="shared" si="10"/>
        <v>9.5</v>
      </c>
      <c r="AC23">
        <f t="shared" si="11"/>
        <v>0.24129999999999999</v>
      </c>
      <c r="AD23">
        <v>28.8</v>
      </c>
    </row>
    <row r="24" spans="1:30" x14ac:dyDescent="0.5">
      <c r="A24">
        <f t="shared" si="12"/>
        <v>11</v>
      </c>
      <c r="B24">
        <f t="shared" si="0"/>
        <v>5</v>
      </c>
      <c r="C24">
        <f t="shared" si="1"/>
        <v>0.127</v>
      </c>
      <c r="D24">
        <v>33.799999999999997</v>
      </c>
      <c r="F24">
        <f t="shared" si="13"/>
        <v>11</v>
      </c>
      <c r="G24">
        <f t="shared" si="2"/>
        <v>5</v>
      </c>
      <c r="H24">
        <f t="shared" si="3"/>
        <v>0.127</v>
      </c>
      <c r="I24">
        <v>29</v>
      </c>
      <c r="K24">
        <f t="shared" si="14"/>
        <v>11</v>
      </c>
      <c r="L24">
        <f t="shared" si="4"/>
        <v>5</v>
      </c>
      <c r="M24">
        <f t="shared" si="5"/>
        <v>0.127</v>
      </c>
      <c r="N24">
        <v>28.4</v>
      </c>
      <c r="Q24">
        <f t="shared" si="15"/>
        <v>22</v>
      </c>
      <c r="R24">
        <f t="shared" si="6"/>
        <v>10</v>
      </c>
      <c r="S24">
        <f t="shared" si="7"/>
        <v>0.254</v>
      </c>
      <c r="T24">
        <v>33.6</v>
      </c>
      <c r="V24">
        <f t="shared" si="16"/>
        <v>22</v>
      </c>
      <c r="W24">
        <f t="shared" si="8"/>
        <v>10</v>
      </c>
      <c r="X24">
        <f t="shared" si="9"/>
        <v>0.254</v>
      </c>
      <c r="Y24">
        <v>31</v>
      </c>
      <c r="AA24">
        <f t="shared" si="17"/>
        <v>22</v>
      </c>
      <c r="AB24">
        <f t="shared" si="10"/>
        <v>10</v>
      </c>
      <c r="AC24">
        <f t="shared" si="11"/>
        <v>0.254</v>
      </c>
      <c r="AD24">
        <v>29.6</v>
      </c>
    </row>
    <row r="25" spans="1:30" x14ac:dyDescent="0.5">
      <c r="A25">
        <f t="shared" si="12"/>
        <v>11.25</v>
      </c>
      <c r="B25">
        <f t="shared" si="0"/>
        <v>5.25</v>
      </c>
      <c r="C25">
        <f t="shared" si="1"/>
        <v>0.13335</v>
      </c>
      <c r="D25">
        <v>34.200000000000003</v>
      </c>
      <c r="F25">
        <f t="shared" si="13"/>
        <v>11.25</v>
      </c>
      <c r="G25">
        <f t="shared" si="2"/>
        <v>5.25</v>
      </c>
      <c r="H25">
        <f t="shared" si="3"/>
        <v>0.13335</v>
      </c>
      <c r="I25">
        <v>29.8</v>
      </c>
      <c r="K25">
        <f t="shared" si="14"/>
        <v>11.25</v>
      </c>
      <c r="L25">
        <f t="shared" si="4"/>
        <v>5.25</v>
      </c>
      <c r="M25">
        <f t="shared" si="5"/>
        <v>0.13335</v>
      </c>
      <c r="N25">
        <v>29.4</v>
      </c>
      <c r="Q25">
        <f t="shared" si="15"/>
        <v>22.5</v>
      </c>
      <c r="R25">
        <f t="shared" si="6"/>
        <v>10.5</v>
      </c>
      <c r="S25">
        <f t="shared" si="7"/>
        <v>0.26669999999999999</v>
      </c>
      <c r="T25">
        <v>34.6</v>
      </c>
      <c r="V25">
        <f t="shared" si="16"/>
        <v>22.5</v>
      </c>
      <c r="W25">
        <f t="shared" si="8"/>
        <v>10.5</v>
      </c>
      <c r="X25">
        <f t="shared" si="9"/>
        <v>0.26669999999999999</v>
      </c>
      <c r="Y25">
        <v>31.6</v>
      </c>
      <c r="AA25">
        <f t="shared" si="17"/>
        <v>22.5</v>
      </c>
      <c r="AB25">
        <f t="shared" si="10"/>
        <v>10.5</v>
      </c>
      <c r="AC25">
        <f t="shared" si="11"/>
        <v>0.26669999999999999</v>
      </c>
      <c r="AD25">
        <v>30.4</v>
      </c>
    </row>
    <row r="26" spans="1:30" x14ac:dyDescent="0.5">
      <c r="A26">
        <f t="shared" si="12"/>
        <v>11.5</v>
      </c>
      <c r="B26">
        <f t="shared" si="0"/>
        <v>5.5</v>
      </c>
      <c r="C26">
        <f t="shared" si="1"/>
        <v>0.13969999999999999</v>
      </c>
      <c r="D26">
        <v>35.4</v>
      </c>
      <c r="F26">
        <f t="shared" si="13"/>
        <v>11.5</v>
      </c>
      <c r="G26">
        <f t="shared" si="2"/>
        <v>5.5</v>
      </c>
      <c r="H26">
        <f t="shared" si="3"/>
        <v>0.13969999999999999</v>
      </c>
      <c r="I26">
        <v>30.8</v>
      </c>
      <c r="K26">
        <f t="shared" si="14"/>
        <v>11.5</v>
      </c>
      <c r="L26">
        <f t="shared" si="4"/>
        <v>5.5</v>
      </c>
      <c r="M26">
        <f t="shared" si="5"/>
        <v>0.13969999999999999</v>
      </c>
      <c r="N26">
        <v>30</v>
      </c>
      <c r="Q26">
        <f t="shared" si="15"/>
        <v>23</v>
      </c>
      <c r="R26">
        <f t="shared" si="6"/>
        <v>11</v>
      </c>
      <c r="S26">
        <f t="shared" si="7"/>
        <v>0.27939999999999998</v>
      </c>
      <c r="T26">
        <v>35.4</v>
      </c>
      <c r="V26">
        <f t="shared" si="16"/>
        <v>23</v>
      </c>
      <c r="W26">
        <f t="shared" si="8"/>
        <v>11</v>
      </c>
      <c r="X26">
        <f t="shared" si="9"/>
        <v>0.27939999999999998</v>
      </c>
      <c r="Y26">
        <v>32.4</v>
      </c>
      <c r="AA26">
        <f t="shared" si="17"/>
        <v>23</v>
      </c>
      <c r="AB26">
        <f t="shared" si="10"/>
        <v>11</v>
      </c>
      <c r="AC26">
        <f t="shared" si="11"/>
        <v>0.27939999999999998</v>
      </c>
      <c r="AD26">
        <v>31.2</v>
      </c>
    </row>
    <row r="27" spans="1:30" x14ac:dyDescent="0.5">
      <c r="A27">
        <f t="shared" si="12"/>
        <v>11.75</v>
      </c>
      <c r="B27">
        <f t="shared" si="0"/>
        <v>5.75</v>
      </c>
      <c r="C27">
        <f t="shared" si="1"/>
        <v>0.14604999999999999</v>
      </c>
      <c r="D27">
        <v>36</v>
      </c>
      <c r="F27">
        <f t="shared" si="13"/>
        <v>11.75</v>
      </c>
      <c r="G27">
        <f t="shared" si="2"/>
        <v>5.75</v>
      </c>
      <c r="H27">
        <f t="shared" si="3"/>
        <v>0.14604999999999999</v>
      </c>
      <c r="I27">
        <v>31.4</v>
      </c>
      <c r="K27">
        <f t="shared" si="14"/>
        <v>11.75</v>
      </c>
      <c r="L27">
        <f t="shared" si="4"/>
        <v>5.75</v>
      </c>
      <c r="M27">
        <f t="shared" si="5"/>
        <v>0.14604999999999999</v>
      </c>
      <c r="N27">
        <v>31</v>
      </c>
      <c r="Q27">
        <f t="shared" si="15"/>
        <v>23.5</v>
      </c>
      <c r="R27">
        <f t="shared" si="6"/>
        <v>11.5</v>
      </c>
      <c r="S27">
        <f t="shared" si="7"/>
        <v>0.29209999999999997</v>
      </c>
      <c r="T27">
        <v>36.4</v>
      </c>
      <c r="V27">
        <f t="shared" si="16"/>
        <v>23.5</v>
      </c>
      <c r="W27">
        <f t="shared" si="8"/>
        <v>11.5</v>
      </c>
      <c r="X27">
        <f t="shared" si="9"/>
        <v>0.29209999999999997</v>
      </c>
      <c r="Y27">
        <v>33.200000000000003</v>
      </c>
      <c r="AA27">
        <f t="shared" si="17"/>
        <v>23.5</v>
      </c>
      <c r="AB27">
        <f t="shared" si="10"/>
        <v>11.5</v>
      </c>
      <c r="AC27">
        <f t="shared" si="11"/>
        <v>0.29209999999999997</v>
      </c>
      <c r="AD27">
        <v>32</v>
      </c>
    </row>
    <row r="28" spans="1:30" x14ac:dyDescent="0.5">
      <c r="A28">
        <f t="shared" si="12"/>
        <v>12</v>
      </c>
      <c r="B28">
        <f t="shared" si="0"/>
        <v>6</v>
      </c>
      <c r="C28">
        <f t="shared" si="1"/>
        <v>0.15239999999999998</v>
      </c>
      <c r="D28">
        <v>37.200000000000003</v>
      </c>
      <c r="F28">
        <f t="shared" si="13"/>
        <v>12</v>
      </c>
      <c r="G28">
        <f t="shared" si="2"/>
        <v>6</v>
      </c>
      <c r="H28">
        <f t="shared" si="3"/>
        <v>0.15239999999999998</v>
      </c>
      <c r="I28">
        <v>32</v>
      </c>
      <c r="K28">
        <f t="shared" si="14"/>
        <v>12</v>
      </c>
      <c r="L28">
        <f t="shared" si="4"/>
        <v>6</v>
      </c>
      <c r="M28">
        <f t="shared" si="5"/>
        <v>0.15239999999999998</v>
      </c>
      <c r="N28">
        <v>31.6</v>
      </c>
      <c r="Q28">
        <f t="shared" si="15"/>
        <v>24</v>
      </c>
      <c r="R28">
        <f t="shared" si="6"/>
        <v>12</v>
      </c>
      <c r="S28">
        <f t="shared" si="7"/>
        <v>0.30479999999999996</v>
      </c>
      <c r="T28">
        <v>37.200000000000003</v>
      </c>
      <c r="V28">
        <f t="shared" si="16"/>
        <v>24</v>
      </c>
      <c r="W28">
        <f t="shared" si="8"/>
        <v>12</v>
      </c>
      <c r="X28">
        <f t="shared" si="9"/>
        <v>0.30479999999999996</v>
      </c>
      <c r="Y28">
        <v>34</v>
      </c>
      <c r="AA28">
        <f t="shared" si="17"/>
        <v>24</v>
      </c>
      <c r="AB28">
        <f t="shared" si="10"/>
        <v>12</v>
      </c>
      <c r="AC28">
        <f t="shared" si="11"/>
        <v>0.30479999999999996</v>
      </c>
      <c r="AD28">
        <v>32.799999999999997</v>
      </c>
    </row>
    <row r="29" spans="1:30" x14ac:dyDescent="0.5">
      <c r="A29">
        <f t="shared" si="12"/>
        <v>12.25</v>
      </c>
      <c r="B29">
        <f t="shared" si="0"/>
        <v>6.25</v>
      </c>
      <c r="C29">
        <f t="shared" si="1"/>
        <v>0.15875</v>
      </c>
      <c r="D29">
        <v>37.799999999999997</v>
      </c>
      <c r="F29">
        <f t="shared" si="13"/>
        <v>12.25</v>
      </c>
      <c r="G29">
        <f t="shared" si="2"/>
        <v>6.25</v>
      </c>
      <c r="H29">
        <f t="shared" si="3"/>
        <v>0.15875</v>
      </c>
      <c r="I29">
        <v>32.6</v>
      </c>
      <c r="K29">
        <f t="shared" si="14"/>
        <v>12.25</v>
      </c>
      <c r="L29">
        <f t="shared" si="4"/>
        <v>6.25</v>
      </c>
      <c r="M29">
        <f t="shared" si="5"/>
        <v>0.15875</v>
      </c>
      <c r="N29">
        <v>32.4</v>
      </c>
      <c r="Q29">
        <f t="shared" si="15"/>
        <v>24.5</v>
      </c>
      <c r="R29">
        <f t="shared" si="6"/>
        <v>12.5</v>
      </c>
      <c r="S29">
        <f t="shared" si="7"/>
        <v>0.3175</v>
      </c>
      <c r="T29">
        <v>38</v>
      </c>
      <c r="V29">
        <f t="shared" si="16"/>
        <v>24.5</v>
      </c>
      <c r="W29">
        <f t="shared" si="8"/>
        <v>12.5</v>
      </c>
      <c r="X29">
        <f t="shared" si="9"/>
        <v>0.3175</v>
      </c>
      <c r="Y29">
        <v>34.799999999999997</v>
      </c>
      <c r="AA29">
        <f t="shared" si="17"/>
        <v>24.5</v>
      </c>
      <c r="AB29">
        <f t="shared" si="10"/>
        <v>12.5</v>
      </c>
      <c r="AC29">
        <f t="shared" si="11"/>
        <v>0.3175</v>
      </c>
      <c r="AD29">
        <v>34</v>
      </c>
    </row>
    <row r="30" spans="1:30" x14ac:dyDescent="0.5">
      <c r="A30">
        <f t="shared" si="12"/>
        <v>12.5</v>
      </c>
      <c r="B30">
        <f t="shared" si="0"/>
        <v>6.5</v>
      </c>
      <c r="C30">
        <f t="shared" si="1"/>
        <v>0.1651</v>
      </c>
      <c r="D30">
        <v>38.4</v>
      </c>
      <c r="F30">
        <f t="shared" si="13"/>
        <v>12.5</v>
      </c>
      <c r="G30">
        <f t="shared" si="2"/>
        <v>6.5</v>
      </c>
      <c r="H30">
        <f t="shared" si="3"/>
        <v>0.1651</v>
      </c>
      <c r="I30">
        <v>33.799999999999997</v>
      </c>
      <c r="K30">
        <f t="shared" si="14"/>
        <v>12.5</v>
      </c>
      <c r="L30">
        <f t="shared" si="4"/>
        <v>6.5</v>
      </c>
      <c r="M30">
        <f t="shared" si="5"/>
        <v>0.1651</v>
      </c>
      <c r="N30">
        <v>33.200000000000003</v>
      </c>
      <c r="Q30">
        <f t="shared" si="15"/>
        <v>25</v>
      </c>
      <c r="R30">
        <f t="shared" si="6"/>
        <v>13</v>
      </c>
      <c r="S30">
        <f t="shared" si="7"/>
        <v>0.33019999999999999</v>
      </c>
      <c r="T30">
        <v>38.4</v>
      </c>
      <c r="V30">
        <f t="shared" si="16"/>
        <v>25</v>
      </c>
      <c r="W30">
        <f t="shared" si="8"/>
        <v>13</v>
      </c>
      <c r="X30">
        <f t="shared" si="9"/>
        <v>0.33019999999999999</v>
      </c>
      <c r="Y30">
        <v>35.6</v>
      </c>
      <c r="AA30">
        <f t="shared" si="17"/>
        <v>25</v>
      </c>
      <c r="AB30">
        <f t="shared" si="10"/>
        <v>13</v>
      </c>
      <c r="AC30">
        <f t="shared" si="11"/>
        <v>0.33019999999999999</v>
      </c>
      <c r="AD30">
        <v>34.6</v>
      </c>
    </row>
    <row r="31" spans="1:30" x14ac:dyDescent="0.5">
      <c r="A31">
        <f t="shared" si="12"/>
        <v>12.75</v>
      </c>
      <c r="B31">
        <f t="shared" si="0"/>
        <v>6.75</v>
      </c>
      <c r="C31">
        <f t="shared" si="1"/>
        <v>0.17144999999999999</v>
      </c>
      <c r="D31">
        <v>38.799999999999997</v>
      </c>
      <c r="F31">
        <f t="shared" si="13"/>
        <v>12.75</v>
      </c>
      <c r="G31">
        <f t="shared" si="2"/>
        <v>6.75</v>
      </c>
      <c r="H31">
        <f t="shared" si="3"/>
        <v>0.17144999999999999</v>
      </c>
      <c r="I31">
        <v>34.6</v>
      </c>
      <c r="K31">
        <f t="shared" si="14"/>
        <v>12.75</v>
      </c>
      <c r="L31">
        <f t="shared" si="4"/>
        <v>6.75</v>
      </c>
      <c r="M31">
        <f t="shared" si="5"/>
        <v>0.17144999999999999</v>
      </c>
      <c r="N31">
        <v>34.200000000000003</v>
      </c>
      <c r="Q31">
        <f t="shared" si="15"/>
        <v>25.5</v>
      </c>
      <c r="R31">
        <f t="shared" si="6"/>
        <v>13.5</v>
      </c>
      <c r="S31">
        <f t="shared" si="7"/>
        <v>0.34289999999999998</v>
      </c>
      <c r="T31">
        <v>39.6</v>
      </c>
      <c r="V31">
        <f t="shared" si="16"/>
        <v>25.5</v>
      </c>
      <c r="W31">
        <f t="shared" si="8"/>
        <v>13.5</v>
      </c>
      <c r="X31">
        <f t="shared" si="9"/>
        <v>0.34289999999999998</v>
      </c>
      <c r="Y31">
        <v>36.200000000000003</v>
      </c>
      <c r="AA31">
        <f t="shared" si="17"/>
        <v>25.5</v>
      </c>
      <c r="AB31">
        <f t="shared" si="10"/>
        <v>13.5</v>
      </c>
      <c r="AC31">
        <f t="shared" si="11"/>
        <v>0.34289999999999998</v>
      </c>
      <c r="AD31">
        <v>35.6</v>
      </c>
    </row>
    <row r="32" spans="1:30" x14ac:dyDescent="0.5">
      <c r="A32">
        <f t="shared" si="12"/>
        <v>13</v>
      </c>
      <c r="B32">
        <f t="shared" si="0"/>
        <v>7</v>
      </c>
      <c r="C32">
        <f t="shared" si="1"/>
        <v>0.17779999999999999</v>
      </c>
      <c r="D32">
        <v>40.200000000000003</v>
      </c>
      <c r="F32">
        <f t="shared" si="13"/>
        <v>13</v>
      </c>
      <c r="G32">
        <f t="shared" si="2"/>
        <v>7</v>
      </c>
      <c r="H32">
        <f t="shared" si="3"/>
        <v>0.17779999999999999</v>
      </c>
      <c r="I32">
        <v>35.4</v>
      </c>
      <c r="K32">
        <f t="shared" si="14"/>
        <v>13</v>
      </c>
      <c r="L32">
        <f t="shared" si="4"/>
        <v>7</v>
      </c>
      <c r="M32">
        <f t="shared" si="5"/>
        <v>0.17779999999999999</v>
      </c>
      <c r="N32">
        <v>34.799999999999997</v>
      </c>
      <c r="Q32">
        <f t="shared" si="15"/>
        <v>26</v>
      </c>
      <c r="R32">
        <f t="shared" si="6"/>
        <v>14</v>
      </c>
      <c r="S32">
        <f t="shared" si="7"/>
        <v>0.35559999999999997</v>
      </c>
      <c r="T32">
        <v>40.200000000000003</v>
      </c>
      <c r="V32">
        <f t="shared" si="16"/>
        <v>26</v>
      </c>
      <c r="W32">
        <f t="shared" si="8"/>
        <v>14</v>
      </c>
      <c r="X32">
        <f t="shared" si="9"/>
        <v>0.35559999999999997</v>
      </c>
      <c r="Y32">
        <v>37.200000000000003</v>
      </c>
      <c r="AA32">
        <f t="shared" si="17"/>
        <v>26</v>
      </c>
      <c r="AB32">
        <f t="shared" si="10"/>
        <v>14</v>
      </c>
      <c r="AC32">
        <f t="shared" si="11"/>
        <v>0.35559999999999997</v>
      </c>
      <c r="AD32">
        <v>36.799999999999997</v>
      </c>
    </row>
    <row r="33" spans="1:30" x14ac:dyDescent="0.5">
      <c r="A33">
        <f t="shared" si="12"/>
        <v>13.25</v>
      </c>
      <c r="B33">
        <f t="shared" si="0"/>
        <v>7.25</v>
      </c>
      <c r="C33">
        <f t="shared" si="1"/>
        <v>0.18414999999999998</v>
      </c>
      <c r="D33">
        <v>40.799999999999997</v>
      </c>
      <c r="F33">
        <f t="shared" si="13"/>
        <v>13.25</v>
      </c>
      <c r="G33">
        <f t="shared" si="2"/>
        <v>7.25</v>
      </c>
      <c r="H33">
        <f t="shared" si="3"/>
        <v>0.18414999999999998</v>
      </c>
      <c r="I33">
        <v>35.799999999999997</v>
      </c>
      <c r="K33">
        <f t="shared" si="14"/>
        <v>13.25</v>
      </c>
      <c r="L33">
        <f t="shared" si="4"/>
        <v>7.25</v>
      </c>
      <c r="M33">
        <f t="shared" si="5"/>
        <v>0.18414999999999998</v>
      </c>
      <c r="N33">
        <v>35.4</v>
      </c>
      <c r="Q33">
        <f t="shared" si="15"/>
        <v>26.5</v>
      </c>
      <c r="R33">
        <f t="shared" si="6"/>
        <v>14.5</v>
      </c>
      <c r="S33">
        <f t="shared" si="7"/>
        <v>0.36829999999999996</v>
      </c>
      <c r="T33">
        <v>41.2</v>
      </c>
      <c r="V33">
        <f t="shared" si="16"/>
        <v>26.5</v>
      </c>
      <c r="W33">
        <f t="shared" si="8"/>
        <v>14.5</v>
      </c>
      <c r="X33">
        <f t="shared" si="9"/>
        <v>0.36829999999999996</v>
      </c>
      <c r="Y33">
        <v>38.200000000000003</v>
      </c>
      <c r="AA33">
        <f t="shared" si="17"/>
        <v>26.5</v>
      </c>
      <c r="AB33">
        <f t="shared" si="10"/>
        <v>14.5</v>
      </c>
      <c r="AC33">
        <f t="shared" si="11"/>
        <v>0.36829999999999996</v>
      </c>
      <c r="AD33">
        <v>37.799999999999997</v>
      </c>
    </row>
    <row r="34" spans="1:30" x14ac:dyDescent="0.5">
      <c r="A34">
        <f t="shared" si="12"/>
        <v>13.5</v>
      </c>
      <c r="B34">
        <f t="shared" si="0"/>
        <v>7.5</v>
      </c>
      <c r="C34">
        <f t="shared" si="1"/>
        <v>0.1905</v>
      </c>
      <c r="D34">
        <v>40.799999999999997</v>
      </c>
      <c r="F34">
        <f t="shared" si="13"/>
        <v>13.5</v>
      </c>
      <c r="G34">
        <f t="shared" si="2"/>
        <v>7.5</v>
      </c>
      <c r="H34">
        <f t="shared" si="3"/>
        <v>0.1905</v>
      </c>
      <c r="I34">
        <v>36.6</v>
      </c>
      <c r="K34">
        <f t="shared" si="14"/>
        <v>13.5</v>
      </c>
      <c r="L34">
        <f t="shared" si="4"/>
        <v>7.5</v>
      </c>
      <c r="M34">
        <f t="shared" si="5"/>
        <v>0.1905</v>
      </c>
      <c r="N34">
        <v>36.4</v>
      </c>
      <c r="Q34">
        <f t="shared" si="15"/>
        <v>27</v>
      </c>
      <c r="R34">
        <f t="shared" si="6"/>
        <v>15</v>
      </c>
      <c r="S34">
        <f t="shared" si="7"/>
        <v>0.38100000000000001</v>
      </c>
      <c r="T34">
        <v>41.8</v>
      </c>
      <c r="V34">
        <f t="shared" si="16"/>
        <v>27</v>
      </c>
      <c r="W34">
        <f t="shared" si="8"/>
        <v>15</v>
      </c>
      <c r="X34">
        <f t="shared" si="9"/>
        <v>0.38100000000000001</v>
      </c>
      <c r="Y34">
        <v>38.799999999999997</v>
      </c>
      <c r="AA34">
        <f t="shared" si="17"/>
        <v>27</v>
      </c>
      <c r="AB34">
        <f t="shared" si="10"/>
        <v>15</v>
      </c>
      <c r="AC34">
        <f t="shared" si="11"/>
        <v>0.38100000000000001</v>
      </c>
      <c r="AD34">
        <v>38.4</v>
      </c>
    </row>
    <row r="35" spans="1:30" x14ac:dyDescent="0.5">
      <c r="A35">
        <f>A34+0.25</f>
        <v>13.75</v>
      </c>
      <c r="B35">
        <f t="shared" si="0"/>
        <v>7.75</v>
      </c>
      <c r="C35">
        <f t="shared" si="1"/>
        <v>0.19685</v>
      </c>
      <c r="D35">
        <v>42.4</v>
      </c>
      <c r="F35">
        <f>F34+0.25</f>
        <v>13.75</v>
      </c>
      <c r="G35">
        <f t="shared" si="2"/>
        <v>7.75</v>
      </c>
      <c r="H35">
        <f t="shared" si="3"/>
        <v>0.19685</v>
      </c>
      <c r="I35">
        <v>37.6</v>
      </c>
      <c r="K35">
        <f>K34+0.25</f>
        <v>13.75</v>
      </c>
      <c r="L35">
        <f t="shared" si="4"/>
        <v>7.75</v>
      </c>
      <c r="M35">
        <f t="shared" si="5"/>
        <v>0.19685</v>
      </c>
      <c r="N35">
        <v>37.200000000000003</v>
      </c>
      <c r="Q35">
        <f t="shared" si="15"/>
        <v>27.5</v>
      </c>
      <c r="R35">
        <f t="shared" si="6"/>
        <v>15.5</v>
      </c>
      <c r="S35">
        <f t="shared" si="7"/>
        <v>0.39369999999999999</v>
      </c>
      <c r="T35">
        <v>43</v>
      </c>
      <c r="V35">
        <f t="shared" si="16"/>
        <v>27.5</v>
      </c>
      <c r="W35">
        <f t="shared" si="8"/>
        <v>15.5</v>
      </c>
      <c r="X35">
        <f t="shared" si="9"/>
        <v>0.39369999999999999</v>
      </c>
      <c r="Y35">
        <v>39.4</v>
      </c>
      <c r="AA35">
        <f t="shared" si="17"/>
        <v>27.5</v>
      </c>
      <c r="AB35">
        <f t="shared" si="10"/>
        <v>15.5</v>
      </c>
      <c r="AC35">
        <f t="shared" si="11"/>
        <v>0.39369999999999999</v>
      </c>
      <c r="AD35">
        <v>38.799999999999997</v>
      </c>
    </row>
    <row r="36" spans="1:30" x14ac:dyDescent="0.5">
      <c r="A36">
        <f t="shared" si="12"/>
        <v>14</v>
      </c>
      <c r="B36">
        <f t="shared" si="0"/>
        <v>8</v>
      </c>
      <c r="C36">
        <f t="shared" si="1"/>
        <v>0.20319999999999999</v>
      </c>
      <c r="D36">
        <v>43</v>
      </c>
      <c r="F36">
        <f t="shared" si="13"/>
        <v>14</v>
      </c>
      <c r="G36">
        <f t="shared" si="2"/>
        <v>8</v>
      </c>
      <c r="H36">
        <f t="shared" si="3"/>
        <v>0.20319999999999999</v>
      </c>
      <c r="I36">
        <v>38.4</v>
      </c>
      <c r="K36">
        <f t="shared" si="14"/>
        <v>14</v>
      </c>
      <c r="L36">
        <f t="shared" si="4"/>
        <v>8</v>
      </c>
      <c r="M36">
        <f t="shared" si="5"/>
        <v>0.20319999999999999</v>
      </c>
      <c r="N36">
        <v>37.6</v>
      </c>
      <c r="Q36">
        <f t="shared" si="15"/>
        <v>28</v>
      </c>
      <c r="R36">
        <f t="shared" si="6"/>
        <v>16</v>
      </c>
      <c r="S36">
        <f t="shared" si="7"/>
        <v>0.40639999999999998</v>
      </c>
      <c r="T36">
        <v>44</v>
      </c>
      <c r="V36">
        <f t="shared" si="16"/>
        <v>28</v>
      </c>
      <c r="W36">
        <f t="shared" si="8"/>
        <v>16</v>
      </c>
      <c r="X36">
        <f t="shared" si="9"/>
        <v>0.40639999999999998</v>
      </c>
      <c r="Y36">
        <v>40.200000000000003</v>
      </c>
      <c r="AA36">
        <f t="shared" si="17"/>
        <v>28</v>
      </c>
      <c r="AB36">
        <f t="shared" si="10"/>
        <v>16</v>
      </c>
      <c r="AC36">
        <f t="shared" si="11"/>
        <v>0.40639999999999998</v>
      </c>
      <c r="AD36">
        <v>40</v>
      </c>
    </row>
    <row r="37" spans="1:30" x14ac:dyDescent="0.5">
      <c r="A37">
        <f t="shared" si="12"/>
        <v>14.25</v>
      </c>
      <c r="B37">
        <f t="shared" si="0"/>
        <v>8.25</v>
      </c>
      <c r="C37">
        <f t="shared" si="1"/>
        <v>0.20954999999999999</v>
      </c>
      <c r="D37">
        <v>43.6</v>
      </c>
      <c r="F37">
        <f t="shared" si="13"/>
        <v>14.25</v>
      </c>
      <c r="G37">
        <f t="shared" si="2"/>
        <v>8.25</v>
      </c>
      <c r="H37">
        <f t="shared" si="3"/>
        <v>0.20954999999999999</v>
      </c>
      <c r="I37">
        <v>38.799999999999997</v>
      </c>
      <c r="K37">
        <f t="shared" si="14"/>
        <v>14.25</v>
      </c>
      <c r="L37">
        <f t="shared" si="4"/>
        <v>8.25</v>
      </c>
      <c r="M37">
        <f t="shared" si="5"/>
        <v>0.20954999999999999</v>
      </c>
      <c r="N37">
        <v>38.200000000000003</v>
      </c>
      <c r="Q37">
        <f t="shared" si="15"/>
        <v>28.5</v>
      </c>
      <c r="R37">
        <f t="shared" si="6"/>
        <v>16.5</v>
      </c>
      <c r="S37">
        <f t="shared" si="7"/>
        <v>0.41909999999999997</v>
      </c>
      <c r="T37">
        <v>44.6</v>
      </c>
      <c r="V37">
        <f t="shared" si="16"/>
        <v>28.5</v>
      </c>
      <c r="W37">
        <f t="shared" si="8"/>
        <v>16.5</v>
      </c>
      <c r="X37">
        <f t="shared" si="9"/>
        <v>0.41909999999999997</v>
      </c>
      <c r="Y37">
        <v>40.799999999999997</v>
      </c>
      <c r="AA37">
        <f t="shared" si="17"/>
        <v>28.5</v>
      </c>
      <c r="AB37">
        <f t="shared" si="10"/>
        <v>16.5</v>
      </c>
      <c r="AC37">
        <f t="shared" si="11"/>
        <v>0.41909999999999997</v>
      </c>
      <c r="AD37">
        <v>40.799999999999997</v>
      </c>
    </row>
    <row r="38" spans="1:30" x14ac:dyDescent="0.5">
      <c r="A38">
        <f t="shared" si="12"/>
        <v>14.5</v>
      </c>
      <c r="B38">
        <f t="shared" si="0"/>
        <v>8.5</v>
      </c>
      <c r="C38">
        <f t="shared" si="1"/>
        <v>0.21589999999999998</v>
      </c>
      <c r="D38">
        <v>44.6</v>
      </c>
      <c r="F38">
        <f t="shared" si="13"/>
        <v>14.5</v>
      </c>
      <c r="G38">
        <f t="shared" si="2"/>
        <v>8.5</v>
      </c>
      <c r="H38">
        <f t="shared" si="3"/>
        <v>0.21589999999999998</v>
      </c>
      <c r="I38">
        <v>40.200000000000003</v>
      </c>
      <c r="K38">
        <f t="shared" si="14"/>
        <v>14.5</v>
      </c>
      <c r="L38">
        <f t="shared" si="4"/>
        <v>8.5</v>
      </c>
      <c r="M38">
        <f t="shared" si="5"/>
        <v>0.21589999999999998</v>
      </c>
      <c r="N38">
        <v>39.4</v>
      </c>
      <c r="Q38">
        <f t="shared" si="15"/>
        <v>29</v>
      </c>
      <c r="R38">
        <f t="shared" si="6"/>
        <v>17</v>
      </c>
      <c r="S38">
        <f t="shared" si="7"/>
        <v>0.43179999999999996</v>
      </c>
      <c r="T38">
        <v>45.4</v>
      </c>
      <c r="V38">
        <f t="shared" si="16"/>
        <v>29</v>
      </c>
      <c r="W38">
        <f t="shared" si="8"/>
        <v>17</v>
      </c>
      <c r="X38">
        <f t="shared" si="9"/>
        <v>0.43179999999999996</v>
      </c>
      <c r="Y38">
        <v>41.8</v>
      </c>
      <c r="AA38">
        <f t="shared" si="17"/>
        <v>29</v>
      </c>
      <c r="AB38">
        <f t="shared" si="10"/>
        <v>17</v>
      </c>
      <c r="AC38">
        <f t="shared" si="11"/>
        <v>0.43179999999999996</v>
      </c>
      <c r="AD38">
        <v>41.6</v>
      </c>
    </row>
    <row r="39" spans="1:30" x14ac:dyDescent="0.5">
      <c r="A39">
        <f t="shared" si="12"/>
        <v>14.75</v>
      </c>
      <c r="B39">
        <f t="shared" si="0"/>
        <v>8.75</v>
      </c>
      <c r="C39">
        <f t="shared" si="1"/>
        <v>0.22225</v>
      </c>
      <c r="D39">
        <v>45.4</v>
      </c>
      <c r="F39">
        <f t="shared" si="13"/>
        <v>14.75</v>
      </c>
      <c r="G39">
        <f t="shared" si="2"/>
        <v>8.75</v>
      </c>
      <c r="H39">
        <f t="shared" si="3"/>
        <v>0.22225</v>
      </c>
      <c r="I39">
        <v>40.799999999999997</v>
      </c>
      <c r="K39">
        <f t="shared" si="14"/>
        <v>14.75</v>
      </c>
      <c r="L39">
        <f t="shared" si="4"/>
        <v>8.75</v>
      </c>
      <c r="M39">
        <f t="shared" si="5"/>
        <v>0.22225</v>
      </c>
      <c r="N39">
        <v>40.200000000000003</v>
      </c>
      <c r="Q39">
        <f t="shared" si="15"/>
        <v>29.5</v>
      </c>
      <c r="R39">
        <f t="shared" si="6"/>
        <v>17.5</v>
      </c>
      <c r="S39">
        <f t="shared" si="7"/>
        <v>0.44450000000000001</v>
      </c>
      <c r="T39">
        <v>46</v>
      </c>
      <c r="V39">
        <f t="shared" si="16"/>
        <v>29.5</v>
      </c>
      <c r="W39">
        <f t="shared" si="8"/>
        <v>17.5</v>
      </c>
      <c r="X39">
        <f t="shared" si="9"/>
        <v>0.44450000000000001</v>
      </c>
      <c r="Y39">
        <v>42.8</v>
      </c>
      <c r="AA39">
        <f t="shared" si="17"/>
        <v>29.5</v>
      </c>
      <c r="AB39">
        <f t="shared" si="10"/>
        <v>17.5</v>
      </c>
      <c r="AC39">
        <f t="shared" si="11"/>
        <v>0.44450000000000001</v>
      </c>
      <c r="AD39">
        <v>42.4</v>
      </c>
    </row>
    <row r="40" spans="1:30" x14ac:dyDescent="0.5">
      <c r="A40">
        <f t="shared" si="12"/>
        <v>15</v>
      </c>
      <c r="B40">
        <f t="shared" si="0"/>
        <v>9</v>
      </c>
      <c r="C40">
        <f t="shared" si="1"/>
        <v>0.2286</v>
      </c>
      <c r="D40">
        <v>46</v>
      </c>
      <c r="F40">
        <f t="shared" si="13"/>
        <v>15</v>
      </c>
      <c r="G40">
        <f t="shared" si="2"/>
        <v>9</v>
      </c>
      <c r="H40">
        <f t="shared" si="3"/>
        <v>0.2286</v>
      </c>
      <c r="I40">
        <v>41.1</v>
      </c>
      <c r="K40">
        <f t="shared" si="14"/>
        <v>15</v>
      </c>
      <c r="L40">
        <f t="shared" si="4"/>
        <v>9</v>
      </c>
      <c r="M40">
        <f t="shared" si="5"/>
        <v>0.2286</v>
      </c>
      <c r="N40">
        <v>40.6</v>
      </c>
      <c r="Q40">
        <f t="shared" si="15"/>
        <v>30</v>
      </c>
      <c r="R40">
        <f t="shared" si="6"/>
        <v>18</v>
      </c>
      <c r="S40">
        <f t="shared" si="7"/>
        <v>0.4572</v>
      </c>
      <c r="T40">
        <v>46.6</v>
      </c>
      <c r="V40">
        <f t="shared" si="16"/>
        <v>30</v>
      </c>
      <c r="W40">
        <f t="shared" si="8"/>
        <v>18</v>
      </c>
      <c r="X40">
        <f t="shared" si="9"/>
        <v>0.4572</v>
      </c>
      <c r="Y40">
        <v>43.2</v>
      </c>
      <c r="AA40">
        <f t="shared" si="17"/>
        <v>30</v>
      </c>
      <c r="AB40">
        <f t="shared" si="10"/>
        <v>18</v>
      </c>
      <c r="AC40">
        <f t="shared" si="11"/>
        <v>0.4572</v>
      </c>
      <c r="AD40">
        <v>43.2</v>
      </c>
    </row>
    <row r="41" spans="1:30" x14ac:dyDescent="0.5">
      <c r="A41">
        <f t="shared" si="12"/>
        <v>15.25</v>
      </c>
      <c r="B41">
        <f t="shared" si="0"/>
        <v>9.25</v>
      </c>
      <c r="C41">
        <f t="shared" si="1"/>
        <v>0.23494999999999999</v>
      </c>
      <c r="D41">
        <v>46.8</v>
      </c>
      <c r="F41">
        <f t="shared" si="13"/>
        <v>15.25</v>
      </c>
      <c r="G41">
        <f t="shared" si="2"/>
        <v>9.25</v>
      </c>
      <c r="H41">
        <f t="shared" si="3"/>
        <v>0.23494999999999999</v>
      </c>
      <c r="I41">
        <v>42.6</v>
      </c>
      <c r="K41">
        <f t="shared" si="14"/>
        <v>15.25</v>
      </c>
      <c r="L41">
        <f t="shared" si="4"/>
        <v>9.25</v>
      </c>
      <c r="M41">
        <f t="shared" si="5"/>
        <v>0.23494999999999999</v>
      </c>
      <c r="N41">
        <v>41.4</v>
      </c>
      <c r="Q41">
        <f t="shared" si="15"/>
        <v>30.5</v>
      </c>
      <c r="R41">
        <f t="shared" si="6"/>
        <v>18.5</v>
      </c>
      <c r="S41">
        <f t="shared" si="7"/>
        <v>0.46989999999999998</v>
      </c>
      <c r="T41">
        <v>47.2</v>
      </c>
      <c r="V41">
        <f t="shared" si="16"/>
        <v>30.5</v>
      </c>
      <c r="W41">
        <f t="shared" si="8"/>
        <v>18.5</v>
      </c>
      <c r="X41">
        <f t="shared" si="9"/>
        <v>0.46989999999999998</v>
      </c>
      <c r="Y41">
        <v>43.8</v>
      </c>
      <c r="AA41">
        <f t="shared" si="17"/>
        <v>30.5</v>
      </c>
      <c r="AB41">
        <f t="shared" si="10"/>
        <v>18.5</v>
      </c>
      <c r="AC41">
        <f t="shared" si="11"/>
        <v>0.46989999999999998</v>
      </c>
      <c r="AD41">
        <v>43.8</v>
      </c>
    </row>
    <row r="42" spans="1:30" x14ac:dyDescent="0.5">
      <c r="A42">
        <f t="shared" si="12"/>
        <v>15.5</v>
      </c>
      <c r="B42">
        <f t="shared" si="0"/>
        <v>9.5</v>
      </c>
      <c r="C42">
        <f t="shared" si="1"/>
        <v>0.24129999999999999</v>
      </c>
      <c r="D42">
        <v>47.2</v>
      </c>
      <c r="F42">
        <f t="shared" si="13"/>
        <v>15.5</v>
      </c>
      <c r="G42">
        <f t="shared" si="2"/>
        <v>9.5</v>
      </c>
      <c r="H42">
        <f t="shared" si="3"/>
        <v>0.24129999999999999</v>
      </c>
      <c r="I42">
        <v>43.4</v>
      </c>
      <c r="K42">
        <f t="shared" si="14"/>
        <v>15.5</v>
      </c>
      <c r="L42">
        <f t="shared" si="4"/>
        <v>9.5</v>
      </c>
      <c r="M42">
        <f t="shared" si="5"/>
        <v>0.24129999999999999</v>
      </c>
      <c r="N42">
        <v>42</v>
      </c>
      <c r="Q42">
        <f t="shared" si="15"/>
        <v>31</v>
      </c>
      <c r="R42">
        <f t="shared" si="6"/>
        <v>19</v>
      </c>
      <c r="S42">
        <f t="shared" si="7"/>
        <v>0.48259999999999997</v>
      </c>
      <c r="T42">
        <v>48.2</v>
      </c>
      <c r="V42">
        <f t="shared" si="16"/>
        <v>31</v>
      </c>
      <c r="W42">
        <f t="shared" si="8"/>
        <v>19</v>
      </c>
      <c r="X42">
        <f t="shared" si="9"/>
        <v>0.48259999999999997</v>
      </c>
      <c r="Y42">
        <v>45.2</v>
      </c>
      <c r="AA42">
        <f t="shared" si="17"/>
        <v>31</v>
      </c>
      <c r="AB42">
        <f t="shared" si="10"/>
        <v>19</v>
      </c>
      <c r="AC42">
        <f t="shared" si="11"/>
        <v>0.48259999999999997</v>
      </c>
      <c r="AD42">
        <v>44.6</v>
      </c>
    </row>
    <row r="43" spans="1:30" x14ac:dyDescent="0.5">
      <c r="A43">
        <f t="shared" si="12"/>
        <v>15.75</v>
      </c>
      <c r="B43">
        <f t="shared" si="0"/>
        <v>9.75</v>
      </c>
      <c r="C43">
        <f t="shared" si="1"/>
        <v>0.24764999999999998</v>
      </c>
      <c r="D43">
        <v>47.8</v>
      </c>
      <c r="F43">
        <f t="shared" si="13"/>
        <v>15.75</v>
      </c>
      <c r="G43">
        <f t="shared" si="2"/>
        <v>9.75</v>
      </c>
      <c r="H43">
        <f t="shared" si="3"/>
        <v>0.24764999999999998</v>
      </c>
      <c r="I43">
        <v>44.2</v>
      </c>
      <c r="K43">
        <f t="shared" si="14"/>
        <v>15.75</v>
      </c>
      <c r="L43">
        <f t="shared" si="4"/>
        <v>9.75</v>
      </c>
      <c r="M43">
        <f t="shared" si="5"/>
        <v>0.24764999999999998</v>
      </c>
      <c r="N43">
        <v>43.2</v>
      </c>
      <c r="Q43">
        <f t="shared" si="15"/>
        <v>31.5</v>
      </c>
      <c r="R43">
        <f t="shared" si="6"/>
        <v>19.5</v>
      </c>
      <c r="S43">
        <f t="shared" si="7"/>
        <v>0.49529999999999996</v>
      </c>
      <c r="T43">
        <v>49.2</v>
      </c>
      <c r="V43">
        <f t="shared" si="16"/>
        <v>31.5</v>
      </c>
      <c r="W43">
        <f t="shared" si="8"/>
        <v>19.5</v>
      </c>
      <c r="X43">
        <f t="shared" si="9"/>
        <v>0.49529999999999996</v>
      </c>
      <c r="Y43">
        <v>46</v>
      </c>
      <c r="AA43">
        <f t="shared" si="17"/>
        <v>31.5</v>
      </c>
      <c r="AB43">
        <f t="shared" si="10"/>
        <v>19.5</v>
      </c>
      <c r="AC43">
        <f t="shared" si="11"/>
        <v>0.49529999999999996</v>
      </c>
      <c r="AD43">
        <v>45.6</v>
      </c>
    </row>
    <row r="44" spans="1:30" x14ac:dyDescent="0.5">
      <c r="A44">
        <f t="shared" si="12"/>
        <v>16</v>
      </c>
      <c r="B44">
        <f t="shared" si="0"/>
        <v>10</v>
      </c>
      <c r="C44">
        <f t="shared" si="1"/>
        <v>0.254</v>
      </c>
      <c r="D44">
        <v>48.4</v>
      </c>
      <c r="F44">
        <f t="shared" si="13"/>
        <v>16</v>
      </c>
      <c r="G44">
        <f t="shared" si="2"/>
        <v>10</v>
      </c>
      <c r="H44">
        <f t="shared" si="3"/>
        <v>0.254</v>
      </c>
      <c r="I44">
        <v>45</v>
      </c>
      <c r="K44">
        <f t="shared" si="14"/>
        <v>16</v>
      </c>
      <c r="L44">
        <f t="shared" si="4"/>
        <v>10</v>
      </c>
      <c r="M44">
        <f t="shared" si="5"/>
        <v>0.254</v>
      </c>
      <c r="N44">
        <v>43.6</v>
      </c>
      <c r="Q44">
        <f t="shared" si="15"/>
        <v>32</v>
      </c>
      <c r="R44">
        <f t="shared" si="6"/>
        <v>20</v>
      </c>
      <c r="S44">
        <f t="shared" si="7"/>
        <v>0.50800000000000001</v>
      </c>
      <c r="T44">
        <v>49.8</v>
      </c>
      <c r="V44">
        <f t="shared" si="16"/>
        <v>32</v>
      </c>
      <c r="W44">
        <f t="shared" si="8"/>
        <v>20</v>
      </c>
      <c r="X44">
        <f t="shared" si="9"/>
        <v>0.50800000000000001</v>
      </c>
      <c r="Y44">
        <v>46.8</v>
      </c>
      <c r="AA44">
        <f t="shared" si="17"/>
        <v>32</v>
      </c>
      <c r="AB44">
        <f t="shared" si="10"/>
        <v>20</v>
      </c>
      <c r="AC44">
        <f t="shared" si="11"/>
        <v>0.50800000000000001</v>
      </c>
      <c r="AD44">
        <v>46.6</v>
      </c>
    </row>
    <row r="45" spans="1:30" x14ac:dyDescent="0.5">
      <c r="A45">
        <f t="shared" si="12"/>
        <v>16.25</v>
      </c>
      <c r="B45">
        <f t="shared" si="0"/>
        <v>10.25</v>
      </c>
      <c r="C45">
        <f t="shared" si="1"/>
        <v>0.26034999999999997</v>
      </c>
      <c r="D45">
        <v>49.6</v>
      </c>
      <c r="F45">
        <f t="shared" si="13"/>
        <v>16.25</v>
      </c>
      <c r="G45">
        <f t="shared" si="2"/>
        <v>10.25</v>
      </c>
      <c r="H45">
        <f t="shared" si="3"/>
        <v>0.26034999999999997</v>
      </c>
      <c r="I45">
        <v>45.2</v>
      </c>
      <c r="K45">
        <f t="shared" si="14"/>
        <v>16.25</v>
      </c>
      <c r="L45">
        <f t="shared" si="4"/>
        <v>10.25</v>
      </c>
      <c r="M45">
        <f t="shared" si="5"/>
        <v>0.26034999999999997</v>
      </c>
      <c r="N45">
        <v>44.6</v>
      </c>
      <c r="Q45">
        <f t="shared" si="15"/>
        <v>32.5</v>
      </c>
      <c r="R45">
        <f t="shared" si="6"/>
        <v>20.5</v>
      </c>
      <c r="S45">
        <f t="shared" si="7"/>
        <v>0.52069999999999994</v>
      </c>
      <c r="T45">
        <v>50.4</v>
      </c>
      <c r="V45">
        <f t="shared" si="16"/>
        <v>32.5</v>
      </c>
      <c r="W45">
        <f t="shared" si="8"/>
        <v>20.5</v>
      </c>
      <c r="X45">
        <f t="shared" si="9"/>
        <v>0.52069999999999994</v>
      </c>
      <c r="Y45">
        <v>47.6</v>
      </c>
      <c r="AA45">
        <f t="shared" si="17"/>
        <v>32.5</v>
      </c>
      <c r="AB45">
        <f t="shared" si="10"/>
        <v>20.5</v>
      </c>
      <c r="AC45">
        <f t="shared" si="11"/>
        <v>0.52069999999999994</v>
      </c>
      <c r="AD45">
        <v>47.2</v>
      </c>
    </row>
    <row r="46" spans="1:30" x14ac:dyDescent="0.5">
      <c r="A46">
        <f>A45+0.25</f>
        <v>16.5</v>
      </c>
      <c r="B46">
        <f t="shared" si="0"/>
        <v>10.5</v>
      </c>
      <c r="C46">
        <f t="shared" si="1"/>
        <v>0.26669999999999999</v>
      </c>
      <c r="D46">
        <v>50.4</v>
      </c>
      <c r="F46">
        <f>F45+0.25</f>
        <v>16.5</v>
      </c>
      <c r="G46">
        <f t="shared" si="2"/>
        <v>10.5</v>
      </c>
      <c r="H46">
        <f t="shared" si="3"/>
        <v>0.26669999999999999</v>
      </c>
      <c r="I46">
        <v>46.8</v>
      </c>
      <c r="K46">
        <f>K45+0.25</f>
        <v>16.5</v>
      </c>
      <c r="L46">
        <f t="shared" si="4"/>
        <v>10.5</v>
      </c>
      <c r="M46">
        <f t="shared" si="5"/>
        <v>0.26669999999999999</v>
      </c>
      <c r="N46">
        <v>45.6</v>
      </c>
      <c r="Q46">
        <f t="shared" si="15"/>
        <v>33</v>
      </c>
      <c r="R46">
        <f t="shared" si="6"/>
        <v>21</v>
      </c>
      <c r="S46">
        <f t="shared" si="7"/>
        <v>0.53339999999999999</v>
      </c>
      <c r="T46">
        <v>51.2</v>
      </c>
      <c r="V46">
        <f t="shared" si="16"/>
        <v>33</v>
      </c>
      <c r="W46">
        <f t="shared" si="8"/>
        <v>21</v>
      </c>
      <c r="X46">
        <f t="shared" si="9"/>
        <v>0.53339999999999999</v>
      </c>
      <c r="Y46">
        <v>48.4</v>
      </c>
      <c r="AA46">
        <f t="shared" si="17"/>
        <v>33</v>
      </c>
      <c r="AB46">
        <f t="shared" si="10"/>
        <v>21</v>
      </c>
      <c r="AC46">
        <f t="shared" si="11"/>
        <v>0.53339999999999999</v>
      </c>
      <c r="AD46">
        <v>48.2</v>
      </c>
    </row>
    <row r="47" spans="1:30" x14ac:dyDescent="0.5">
      <c r="A47">
        <f t="shared" ref="A47:A51" si="18">A46+0.25</f>
        <v>16.75</v>
      </c>
      <c r="B47">
        <f t="shared" si="0"/>
        <v>10.75</v>
      </c>
      <c r="C47">
        <f t="shared" si="1"/>
        <v>0.27305000000000001</v>
      </c>
      <c r="D47">
        <v>51</v>
      </c>
      <c r="F47">
        <f t="shared" ref="F47:F51" si="19">F46+0.25</f>
        <v>16.75</v>
      </c>
      <c r="G47">
        <f t="shared" si="2"/>
        <v>10.75</v>
      </c>
      <c r="H47">
        <f t="shared" si="3"/>
        <v>0.27305000000000001</v>
      </c>
      <c r="I47">
        <v>47.2</v>
      </c>
      <c r="K47">
        <f t="shared" ref="K47:K51" si="20">K46+0.25</f>
        <v>16.75</v>
      </c>
      <c r="L47">
        <f t="shared" si="4"/>
        <v>10.75</v>
      </c>
      <c r="M47">
        <f t="shared" si="5"/>
        <v>0.27305000000000001</v>
      </c>
      <c r="N47">
        <v>46.2</v>
      </c>
      <c r="Q47">
        <f t="shared" si="15"/>
        <v>33.5</v>
      </c>
      <c r="R47">
        <f t="shared" si="6"/>
        <v>21.5</v>
      </c>
      <c r="S47">
        <f t="shared" si="7"/>
        <v>0.54610000000000003</v>
      </c>
      <c r="T47">
        <v>52.2</v>
      </c>
      <c r="V47">
        <f t="shared" si="16"/>
        <v>33.5</v>
      </c>
      <c r="W47">
        <f t="shared" si="8"/>
        <v>21.5</v>
      </c>
      <c r="X47">
        <f t="shared" si="9"/>
        <v>0.54610000000000003</v>
      </c>
      <c r="Y47">
        <v>49.4</v>
      </c>
      <c r="AA47">
        <f t="shared" si="17"/>
        <v>33.5</v>
      </c>
      <c r="AB47">
        <f t="shared" si="10"/>
        <v>21.5</v>
      </c>
      <c r="AC47">
        <f t="shared" si="11"/>
        <v>0.54610000000000003</v>
      </c>
      <c r="AD47">
        <v>49</v>
      </c>
    </row>
    <row r="48" spans="1:30" x14ac:dyDescent="0.5">
      <c r="A48">
        <f t="shared" si="18"/>
        <v>17</v>
      </c>
      <c r="B48">
        <f t="shared" si="0"/>
        <v>11</v>
      </c>
      <c r="C48">
        <f t="shared" si="1"/>
        <v>0.27939999999999998</v>
      </c>
      <c r="D48">
        <v>51.6</v>
      </c>
      <c r="F48">
        <f t="shared" si="19"/>
        <v>17</v>
      </c>
      <c r="G48">
        <f t="shared" si="2"/>
        <v>11</v>
      </c>
      <c r="H48">
        <f t="shared" si="3"/>
        <v>0.27939999999999998</v>
      </c>
      <c r="I48">
        <v>48</v>
      </c>
      <c r="K48">
        <f t="shared" si="20"/>
        <v>17</v>
      </c>
      <c r="L48">
        <f t="shared" si="4"/>
        <v>11</v>
      </c>
      <c r="M48">
        <f t="shared" si="5"/>
        <v>0.27939999999999998</v>
      </c>
      <c r="N48">
        <v>47</v>
      </c>
      <c r="Q48">
        <f t="shared" si="15"/>
        <v>34</v>
      </c>
      <c r="R48">
        <f t="shared" si="6"/>
        <v>22</v>
      </c>
      <c r="S48">
        <f t="shared" si="7"/>
        <v>0.55879999999999996</v>
      </c>
      <c r="T48">
        <v>53</v>
      </c>
      <c r="V48">
        <f t="shared" si="16"/>
        <v>34</v>
      </c>
      <c r="W48">
        <f t="shared" si="8"/>
        <v>22</v>
      </c>
      <c r="X48">
        <f t="shared" si="9"/>
        <v>0.55879999999999996</v>
      </c>
      <c r="Y48">
        <v>50.4</v>
      </c>
      <c r="AA48">
        <f t="shared" si="17"/>
        <v>34</v>
      </c>
      <c r="AB48">
        <f t="shared" si="10"/>
        <v>22</v>
      </c>
      <c r="AC48">
        <f t="shared" si="11"/>
        <v>0.55879999999999996</v>
      </c>
      <c r="AD48">
        <v>50</v>
      </c>
    </row>
    <row r="49" spans="1:30" x14ac:dyDescent="0.5">
      <c r="A49">
        <f t="shared" si="18"/>
        <v>17.25</v>
      </c>
      <c r="B49">
        <f t="shared" si="0"/>
        <v>11.25</v>
      </c>
      <c r="C49">
        <f t="shared" si="1"/>
        <v>0.28575</v>
      </c>
      <c r="D49">
        <v>52.4</v>
      </c>
      <c r="F49">
        <f t="shared" si="19"/>
        <v>17.25</v>
      </c>
      <c r="G49">
        <f t="shared" si="2"/>
        <v>11.25</v>
      </c>
      <c r="H49">
        <f t="shared" si="3"/>
        <v>0.28575</v>
      </c>
      <c r="I49">
        <v>49.4</v>
      </c>
      <c r="K49">
        <f t="shared" si="20"/>
        <v>17.25</v>
      </c>
      <c r="L49">
        <f t="shared" si="4"/>
        <v>11.25</v>
      </c>
      <c r="M49">
        <f t="shared" si="5"/>
        <v>0.28575</v>
      </c>
      <c r="N49">
        <v>47.6</v>
      </c>
      <c r="Q49">
        <f t="shared" si="15"/>
        <v>34.5</v>
      </c>
      <c r="R49">
        <f t="shared" si="6"/>
        <v>22.5</v>
      </c>
      <c r="S49">
        <f t="shared" si="7"/>
        <v>0.57150000000000001</v>
      </c>
      <c r="T49">
        <v>53.8</v>
      </c>
      <c r="V49">
        <f t="shared" si="16"/>
        <v>34.5</v>
      </c>
      <c r="W49">
        <f t="shared" si="8"/>
        <v>22.5</v>
      </c>
      <c r="X49">
        <f t="shared" si="9"/>
        <v>0.57150000000000001</v>
      </c>
      <c r="Y49">
        <v>51.2</v>
      </c>
      <c r="AA49">
        <f t="shared" si="17"/>
        <v>34.5</v>
      </c>
      <c r="AB49">
        <f t="shared" si="10"/>
        <v>22.5</v>
      </c>
      <c r="AC49">
        <f t="shared" si="11"/>
        <v>0.57150000000000001</v>
      </c>
      <c r="AD49">
        <v>50.8</v>
      </c>
    </row>
    <row r="50" spans="1:30" x14ac:dyDescent="0.5">
      <c r="A50">
        <f t="shared" si="18"/>
        <v>17.5</v>
      </c>
      <c r="B50">
        <f t="shared" si="0"/>
        <v>11.5</v>
      </c>
      <c r="C50">
        <f t="shared" si="1"/>
        <v>0.29209999999999997</v>
      </c>
      <c r="D50">
        <v>52.8</v>
      </c>
      <c r="F50">
        <f t="shared" si="19"/>
        <v>17.5</v>
      </c>
      <c r="G50">
        <f t="shared" si="2"/>
        <v>11.5</v>
      </c>
      <c r="H50">
        <f t="shared" si="3"/>
        <v>0.29209999999999997</v>
      </c>
      <c r="I50">
        <v>50</v>
      </c>
      <c r="K50">
        <f t="shared" si="20"/>
        <v>17.5</v>
      </c>
      <c r="L50">
        <f t="shared" si="4"/>
        <v>11.5</v>
      </c>
      <c r="M50">
        <f t="shared" si="5"/>
        <v>0.29209999999999997</v>
      </c>
      <c r="N50">
        <v>48.8</v>
      </c>
      <c r="Q50">
        <f t="shared" si="15"/>
        <v>35</v>
      </c>
      <c r="R50">
        <f t="shared" si="6"/>
        <v>23</v>
      </c>
      <c r="S50">
        <f t="shared" si="7"/>
        <v>0.58419999999999994</v>
      </c>
      <c r="T50">
        <v>54.6</v>
      </c>
      <c r="V50">
        <f t="shared" si="16"/>
        <v>35</v>
      </c>
      <c r="W50">
        <f t="shared" si="8"/>
        <v>23</v>
      </c>
      <c r="X50">
        <f t="shared" si="9"/>
        <v>0.58419999999999994</v>
      </c>
      <c r="Y50">
        <v>52.2</v>
      </c>
      <c r="AA50">
        <f t="shared" si="17"/>
        <v>35</v>
      </c>
      <c r="AB50">
        <f t="shared" si="10"/>
        <v>23</v>
      </c>
      <c r="AC50">
        <f t="shared" si="11"/>
        <v>0.58419999999999994</v>
      </c>
      <c r="AD50">
        <v>51.6</v>
      </c>
    </row>
    <row r="51" spans="1:30" x14ac:dyDescent="0.5">
      <c r="A51">
        <f t="shared" si="18"/>
        <v>17.75</v>
      </c>
      <c r="B51">
        <f t="shared" si="0"/>
        <v>11.75</v>
      </c>
      <c r="C51">
        <f t="shared" si="1"/>
        <v>0.29844999999999999</v>
      </c>
      <c r="D51">
        <v>54</v>
      </c>
      <c r="F51">
        <f t="shared" si="19"/>
        <v>17.75</v>
      </c>
      <c r="G51">
        <f t="shared" si="2"/>
        <v>11.75</v>
      </c>
      <c r="H51">
        <f t="shared" si="3"/>
        <v>0.29844999999999999</v>
      </c>
      <c r="I51">
        <v>51</v>
      </c>
      <c r="K51">
        <f t="shared" si="20"/>
        <v>17.75</v>
      </c>
      <c r="L51">
        <f t="shared" si="4"/>
        <v>11.75</v>
      </c>
      <c r="M51">
        <f t="shared" si="5"/>
        <v>0.29844999999999999</v>
      </c>
      <c r="N51">
        <v>50</v>
      </c>
      <c r="Q51">
        <f t="shared" si="15"/>
        <v>35.5</v>
      </c>
      <c r="R51">
        <f t="shared" si="6"/>
        <v>23.5</v>
      </c>
      <c r="S51">
        <f t="shared" si="7"/>
        <v>0.59689999999999999</v>
      </c>
      <c r="T51">
        <v>55.2</v>
      </c>
      <c r="V51">
        <f t="shared" si="16"/>
        <v>35.5</v>
      </c>
      <c r="W51">
        <f t="shared" si="8"/>
        <v>23.5</v>
      </c>
      <c r="X51">
        <f t="shared" si="9"/>
        <v>0.59689999999999999</v>
      </c>
      <c r="Y51">
        <v>53.2</v>
      </c>
      <c r="AA51">
        <f t="shared" si="17"/>
        <v>35.5</v>
      </c>
      <c r="AB51">
        <f t="shared" si="10"/>
        <v>23.5</v>
      </c>
      <c r="AC51">
        <f t="shared" si="11"/>
        <v>0.59689999999999999</v>
      </c>
      <c r="AD51">
        <v>52.4</v>
      </c>
    </row>
    <row r="52" spans="1:30" x14ac:dyDescent="0.5">
      <c r="A52">
        <f>A51+0.25</f>
        <v>18</v>
      </c>
      <c r="B52">
        <f t="shared" si="0"/>
        <v>12</v>
      </c>
      <c r="C52">
        <f t="shared" si="1"/>
        <v>0.30479999999999996</v>
      </c>
      <c r="D52">
        <v>54.8</v>
      </c>
      <c r="F52">
        <f>F51+0.25</f>
        <v>18</v>
      </c>
      <c r="G52">
        <f t="shared" si="2"/>
        <v>12</v>
      </c>
      <c r="H52">
        <f t="shared" si="3"/>
        <v>0.30479999999999996</v>
      </c>
      <c r="I52">
        <v>52</v>
      </c>
      <c r="K52">
        <f>K51+0.25</f>
        <v>18</v>
      </c>
      <c r="L52">
        <f t="shared" si="4"/>
        <v>12</v>
      </c>
      <c r="M52">
        <f t="shared" si="5"/>
        <v>0.30479999999999996</v>
      </c>
      <c r="N52">
        <v>51</v>
      </c>
      <c r="Q52">
        <f t="shared" si="15"/>
        <v>36</v>
      </c>
      <c r="R52">
        <f t="shared" si="6"/>
        <v>24</v>
      </c>
      <c r="S52">
        <f t="shared" si="7"/>
        <v>0.60959999999999992</v>
      </c>
      <c r="T52">
        <v>56.2</v>
      </c>
      <c r="V52">
        <f t="shared" si="16"/>
        <v>36</v>
      </c>
      <c r="W52">
        <f t="shared" si="8"/>
        <v>24</v>
      </c>
      <c r="X52">
        <f t="shared" si="9"/>
        <v>0.60959999999999992</v>
      </c>
      <c r="Y52">
        <v>54.2</v>
      </c>
      <c r="AA52">
        <f t="shared" si="17"/>
        <v>36</v>
      </c>
      <c r="AB52">
        <f t="shared" si="10"/>
        <v>24</v>
      </c>
      <c r="AC52">
        <f t="shared" si="11"/>
        <v>0.60959999999999992</v>
      </c>
      <c r="AD52">
        <v>53.8</v>
      </c>
    </row>
  </sheetData>
  <mergeCells count="2">
    <mergeCell ref="A1:B1"/>
    <mergeCell ref="Q1:R1"/>
  </mergeCells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4C75-E4FA-0E4D-B4C2-50DF7549F7BB}">
  <dimension ref="A1:AD52"/>
  <sheetViews>
    <sheetView zoomScale="55" zoomScaleNormal="55" workbookViewId="0">
      <selection activeCell="J9" sqref="J9"/>
    </sheetView>
  </sheetViews>
  <sheetFormatPr defaultColWidth="11" defaultRowHeight="15.75" x14ac:dyDescent="0.5"/>
  <sheetData>
    <row r="1" spans="1:30" x14ac:dyDescent="0.5">
      <c r="A1" s="2" t="s">
        <v>13</v>
      </c>
      <c r="B1" s="2"/>
      <c r="C1" s="1"/>
      <c r="D1" s="1"/>
      <c r="P1" s="1"/>
      <c r="Q1" s="2" t="s">
        <v>14</v>
      </c>
      <c r="R1" s="2"/>
    </row>
    <row r="2" spans="1:30" x14ac:dyDescent="0.5">
      <c r="A2" s="1"/>
      <c r="B2" s="1"/>
      <c r="C2" s="1"/>
      <c r="D2" s="1"/>
    </row>
    <row r="3" spans="1:30" x14ac:dyDescent="0.5">
      <c r="A3" t="s">
        <v>2</v>
      </c>
      <c r="B3" t="s">
        <v>3</v>
      </c>
      <c r="C3" t="s">
        <v>4</v>
      </c>
      <c r="D3" t="s">
        <v>5</v>
      </c>
      <c r="F3" t="s">
        <v>2</v>
      </c>
      <c r="G3" t="s">
        <v>3</v>
      </c>
      <c r="H3" t="s">
        <v>4</v>
      </c>
      <c r="I3" t="s">
        <v>5</v>
      </c>
      <c r="K3" t="s">
        <v>2</v>
      </c>
      <c r="L3" t="s">
        <v>3</v>
      </c>
      <c r="M3" t="s">
        <v>4</v>
      </c>
      <c r="N3" t="s">
        <v>5</v>
      </c>
      <c r="Q3" t="s">
        <v>2</v>
      </c>
      <c r="R3" t="s">
        <v>8</v>
      </c>
      <c r="S3" t="s">
        <v>4</v>
      </c>
      <c r="T3" t="s">
        <v>5</v>
      </c>
      <c r="V3" t="s">
        <v>2</v>
      </c>
      <c r="W3" t="s">
        <v>8</v>
      </c>
      <c r="X3" t="s">
        <v>4</v>
      </c>
      <c r="Y3" t="s">
        <v>5</v>
      </c>
      <c r="AA3" t="s">
        <v>2</v>
      </c>
      <c r="AB3" t="s">
        <v>8</v>
      </c>
      <c r="AC3" t="s">
        <v>4</v>
      </c>
      <c r="AD3" t="s">
        <v>5</v>
      </c>
    </row>
    <row r="4" spans="1:30" x14ac:dyDescent="0.5">
      <c r="A4">
        <v>6</v>
      </c>
      <c r="B4">
        <f>A4-6</f>
        <v>0</v>
      </c>
      <c r="C4">
        <f>B4*0.0254</f>
        <v>0</v>
      </c>
      <c r="D4">
        <v>0</v>
      </c>
      <c r="F4">
        <v>6</v>
      </c>
      <c r="G4">
        <f>F4-6</f>
        <v>0</v>
      </c>
      <c r="H4">
        <f>G4*0.0254</f>
        <v>0</v>
      </c>
      <c r="I4">
        <v>0</v>
      </c>
      <c r="K4">
        <v>6</v>
      </c>
      <c r="L4">
        <f>K4-6</f>
        <v>0</v>
      </c>
      <c r="M4">
        <f>L4*0.0254</f>
        <v>0</v>
      </c>
      <c r="N4">
        <v>0</v>
      </c>
      <c r="Q4">
        <v>12</v>
      </c>
      <c r="R4">
        <f>Q4-12</f>
        <v>0</v>
      </c>
      <c r="S4">
        <f>R4*0.0254</f>
        <v>0</v>
      </c>
      <c r="T4">
        <v>0</v>
      </c>
      <c r="V4">
        <v>12</v>
      </c>
      <c r="W4">
        <f>V4-12</f>
        <v>0</v>
      </c>
      <c r="X4">
        <f>W4*0.0254</f>
        <v>0</v>
      </c>
      <c r="Y4">
        <v>0</v>
      </c>
      <c r="AA4">
        <v>12</v>
      </c>
      <c r="AB4">
        <f>AA4-12</f>
        <v>0</v>
      </c>
      <c r="AC4">
        <f>AB4*0.0254</f>
        <v>0</v>
      </c>
      <c r="AD4">
        <v>0</v>
      </c>
    </row>
    <row r="5" spans="1:30" x14ac:dyDescent="0.5">
      <c r="A5">
        <f>A4+0.25</f>
        <v>6.25</v>
      </c>
      <c r="B5">
        <f t="shared" ref="B5:B52" si="0">A5-6</f>
        <v>0.25</v>
      </c>
      <c r="C5">
        <f t="shared" ref="C5:C52" si="1">B5*0.0254</f>
        <v>6.3499999999999997E-3</v>
      </c>
      <c r="D5">
        <v>3.8</v>
      </c>
      <c r="F5">
        <f>F4+0.25</f>
        <v>6.25</v>
      </c>
      <c r="G5">
        <f t="shared" ref="G5:G52" si="2">F5-6</f>
        <v>0.25</v>
      </c>
      <c r="H5">
        <f t="shared" ref="H5:H52" si="3">G5*0.0254</f>
        <v>6.3499999999999997E-3</v>
      </c>
      <c r="I5">
        <v>4</v>
      </c>
      <c r="K5">
        <f>K4+0.25</f>
        <v>6.25</v>
      </c>
      <c r="L5">
        <f t="shared" ref="L5:L52" si="4">K5-6</f>
        <v>0.25</v>
      </c>
      <c r="M5">
        <f t="shared" ref="M5:M52" si="5">L5*0.0254</f>
        <v>6.3499999999999997E-3</v>
      </c>
      <c r="N5">
        <v>3.4</v>
      </c>
      <c r="Q5">
        <f>Q4+0.5</f>
        <v>12.5</v>
      </c>
      <c r="R5">
        <f t="shared" ref="R5:R52" si="6">Q5-12</f>
        <v>0.5</v>
      </c>
      <c r="S5">
        <f t="shared" ref="S5:S52" si="7">R5*0.0254</f>
        <v>1.2699999999999999E-2</v>
      </c>
      <c r="T5">
        <v>3.6</v>
      </c>
      <c r="V5">
        <f>V4+0.5</f>
        <v>12.5</v>
      </c>
      <c r="W5">
        <f t="shared" ref="W5:W52" si="8">V5-12</f>
        <v>0.5</v>
      </c>
      <c r="X5">
        <f t="shared" ref="X5:X52" si="9">W5*0.0254</f>
        <v>1.2699999999999999E-2</v>
      </c>
      <c r="Y5">
        <v>3</v>
      </c>
      <c r="AA5">
        <f>AA4+0.5</f>
        <v>12.5</v>
      </c>
      <c r="AB5">
        <f t="shared" ref="AB5:AB52" si="10">AA5-12</f>
        <v>0.5</v>
      </c>
      <c r="AC5">
        <f t="shared" ref="AC5:AC52" si="11">AB5*0.0254</f>
        <v>1.2699999999999999E-2</v>
      </c>
      <c r="AD5">
        <v>3</v>
      </c>
    </row>
    <row r="6" spans="1:30" x14ac:dyDescent="0.5">
      <c r="A6">
        <f t="shared" ref="A6:A45" si="12">A5+0.25</f>
        <v>6.5</v>
      </c>
      <c r="B6">
        <f t="shared" si="0"/>
        <v>0.5</v>
      </c>
      <c r="C6">
        <f t="shared" si="1"/>
        <v>1.2699999999999999E-2</v>
      </c>
      <c r="D6">
        <v>5.2</v>
      </c>
      <c r="F6">
        <f t="shared" ref="F6:F45" si="13">F5+0.25</f>
        <v>6.5</v>
      </c>
      <c r="G6">
        <f t="shared" si="2"/>
        <v>0.5</v>
      </c>
      <c r="H6">
        <f t="shared" si="3"/>
        <v>1.2699999999999999E-2</v>
      </c>
      <c r="I6">
        <v>5.4</v>
      </c>
      <c r="K6">
        <f t="shared" ref="K6:K45" si="14">K5+0.25</f>
        <v>6.5</v>
      </c>
      <c r="L6">
        <f t="shared" si="4"/>
        <v>0.5</v>
      </c>
      <c r="M6">
        <f t="shared" si="5"/>
        <v>1.2699999999999999E-2</v>
      </c>
      <c r="N6">
        <v>4.5999999999999996</v>
      </c>
      <c r="Q6">
        <f t="shared" ref="Q6:Q52" si="15">Q5+0.5</f>
        <v>13</v>
      </c>
      <c r="R6">
        <f t="shared" si="6"/>
        <v>1</v>
      </c>
      <c r="S6">
        <f t="shared" si="7"/>
        <v>2.5399999999999999E-2</v>
      </c>
      <c r="T6">
        <v>6</v>
      </c>
      <c r="V6">
        <f t="shared" ref="V6:V52" si="16">V5+0.5</f>
        <v>13</v>
      </c>
      <c r="W6">
        <f t="shared" si="8"/>
        <v>1</v>
      </c>
      <c r="X6">
        <f t="shared" si="9"/>
        <v>2.5399999999999999E-2</v>
      </c>
      <c r="Y6">
        <v>5.2</v>
      </c>
      <c r="AA6">
        <f t="shared" ref="AA6:AA52" si="17">AA5+0.5</f>
        <v>13</v>
      </c>
      <c r="AB6">
        <f t="shared" si="10"/>
        <v>1</v>
      </c>
      <c r="AC6">
        <f t="shared" si="11"/>
        <v>2.5399999999999999E-2</v>
      </c>
      <c r="AD6">
        <v>5</v>
      </c>
    </row>
    <row r="7" spans="1:30" x14ac:dyDescent="0.5">
      <c r="A7">
        <f t="shared" si="12"/>
        <v>6.75</v>
      </c>
      <c r="B7">
        <f t="shared" si="0"/>
        <v>0.75</v>
      </c>
      <c r="C7">
        <f t="shared" si="1"/>
        <v>1.9049999999999997E-2</v>
      </c>
      <c r="D7">
        <v>7</v>
      </c>
      <c r="F7">
        <f t="shared" si="13"/>
        <v>6.75</v>
      </c>
      <c r="G7">
        <f t="shared" si="2"/>
        <v>0.75</v>
      </c>
      <c r="H7">
        <f t="shared" si="3"/>
        <v>1.9049999999999997E-2</v>
      </c>
      <c r="I7">
        <v>7</v>
      </c>
      <c r="K7">
        <f t="shared" si="14"/>
        <v>6.75</v>
      </c>
      <c r="L7">
        <f t="shared" si="4"/>
        <v>0.75</v>
      </c>
      <c r="M7">
        <f t="shared" si="5"/>
        <v>1.9049999999999997E-2</v>
      </c>
      <c r="N7">
        <v>6.6</v>
      </c>
      <c r="Q7">
        <f t="shared" si="15"/>
        <v>13.5</v>
      </c>
      <c r="R7">
        <f t="shared" si="6"/>
        <v>1.5</v>
      </c>
      <c r="S7">
        <f t="shared" si="7"/>
        <v>3.8099999999999995E-2</v>
      </c>
      <c r="T7">
        <v>8.6</v>
      </c>
      <c r="V7">
        <f t="shared" si="16"/>
        <v>13.5</v>
      </c>
      <c r="W7">
        <f t="shared" si="8"/>
        <v>1.5</v>
      </c>
      <c r="X7">
        <f t="shared" si="9"/>
        <v>3.8099999999999995E-2</v>
      </c>
      <c r="Y7">
        <v>7.8</v>
      </c>
      <c r="AA7">
        <f t="shared" si="17"/>
        <v>13.5</v>
      </c>
      <c r="AB7">
        <f t="shared" si="10"/>
        <v>1.5</v>
      </c>
      <c r="AC7">
        <f t="shared" si="11"/>
        <v>3.8099999999999995E-2</v>
      </c>
      <c r="AD7">
        <v>6.8</v>
      </c>
    </row>
    <row r="8" spans="1:30" x14ac:dyDescent="0.5">
      <c r="A8">
        <f t="shared" si="12"/>
        <v>7</v>
      </c>
      <c r="B8">
        <f t="shared" si="0"/>
        <v>1</v>
      </c>
      <c r="C8">
        <f t="shared" si="1"/>
        <v>2.5399999999999999E-2</v>
      </c>
      <c r="D8">
        <v>8.6</v>
      </c>
      <c r="F8">
        <f t="shared" si="13"/>
        <v>7</v>
      </c>
      <c r="G8">
        <f t="shared" si="2"/>
        <v>1</v>
      </c>
      <c r="H8">
        <f t="shared" si="3"/>
        <v>2.5399999999999999E-2</v>
      </c>
      <c r="I8">
        <v>8.1999999999999993</v>
      </c>
      <c r="K8">
        <f t="shared" si="14"/>
        <v>7</v>
      </c>
      <c r="L8">
        <f t="shared" si="4"/>
        <v>1</v>
      </c>
      <c r="M8">
        <f t="shared" si="5"/>
        <v>2.5399999999999999E-2</v>
      </c>
      <c r="N8">
        <v>8.8000000000000007</v>
      </c>
      <c r="Q8">
        <f t="shared" si="15"/>
        <v>14</v>
      </c>
      <c r="R8">
        <f t="shared" si="6"/>
        <v>2</v>
      </c>
      <c r="S8">
        <f t="shared" si="7"/>
        <v>5.0799999999999998E-2</v>
      </c>
      <c r="T8">
        <v>10.6</v>
      </c>
      <c r="V8">
        <f t="shared" si="16"/>
        <v>14</v>
      </c>
      <c r="W8">
        <f t="shared" si="8"/>
        <v>2</v>
      </c>
      <c r="X8">
        <f t="shared" si="9"/>
        <v>5.0799999999999998E-2</v>
      </c>
      <c r="Y8">
        <v>9.1999999999999993</v>
      </c>
      <c r="AA8">
        <f t="shared" si="17"/>
        <v>14</v>
      </c>
      <c r="AB8">
        <f t="shared" si="10"/>
        <v>2</v>
      </c>
      <c r="AC8">
        <f t="shared" si="11"/>
        <v>5.0799999999999998E-2</v>
      </c>
      <c r="AD8">
        <v>8.8000000000000007</v>
      </c>
    </row>
    <row r="9" spans="1:30" x14ac:dyDescent="0.5">
      <c r="A9">
        <f t="shared" si="12"/>
        <v>7.25</v>
      </c>
      <c r="B9">
        <f t="shared" si="0"/>
        <v>1.25</v>
      </c>
      <c r="C9">
        <f t="shared" si="1"/>
        <v>3.175E-2</v>
      </c>
      <c r="D9">
        <v>10</v>
      </c>
      <c r="F9">
        <f t="shared" si="13"/>
        <v>7.25</v>
      </c>
      <c r="G9">
        <f t="shared" si="2"/>
        <v>1.25</v>
      </c>
      <c r="H9">
        <f t="shared" si="3"/>
        <v>3.175E-2</v>
      </c>
      <c r="I9">
        <v>10.199999999999999</v>
      </c>
      <c r="K9">
        <f t="shared" si="14"/>
        <v>7.25</v>
      </c>
      <c r="L9">
        <f t="shared" si="4"/>
        <v>1.25</v>
      </c>
      <c r="M9">
        <f t="shared" si="5"/>
        <v>3.175E-2</v>
      </c>
      <c r="N9">
        <v>9.4</v>
      </c>
      <c r="Q9">
        <f t="shared" si="15"/>
        <v>14.5</v>
      </c>
      <c r="R9">
        <f t="shared" si="6"/>
        <v>2.5</v>
      </c>
      <c r="S9">
        <f t="shared" si="7"/>
        <v>6.3500000000000001E-2</v>
      </c>
      <c r="T9">
        <v>12.4</v>
      </c>
      <c r="V9">
        <f t="shared" si="16"/>
        <v>14.5</v>
      </c>
      <c r="W9">
        <f t="shared" si="8"/>
        <v>2.5</v>
      </c>
      <c r="X9">
        <f t="shared" si="9"/>
        <v>6.3500000000000001E-2</v>
      </c>
      <c r="Y9">
        <v>10</v>
      </c>
      <c r="AA9">
        <f t="shared" si="17"/>
        <v>14.5</v>
      </c>
      <c r="AB9">
        <f t="shared" si="10"/>
        <v>2.5</v>
      </c>
      <c r="AC9">
        <f t="shared" si="11"/>
        <v>6.3500000000000001E-2</v>
      </c>
      <c r="AD9">
        <v>10.4</v>
      </c>
    </row>
    <row r="10" spans="1:30" x14ac:dyDescent="0.5">
      <c r="A10">
        <f t="shared" si="12"/>
        <v>7.5</v>
      </c>
      <c r="B10">
        <f t="shared" si="0"/>
        <v>1.5</v>
      </c>
      <c r="C10">
        <f t="shared" si="1"/>
        <v>3.8099999999999995E-2</v>
      </c>
      <c r="D10">
        <v>11.4</v>
      </c>
      <c r="F10">
        <f t="shared" si="13"/>
        <v>7.5</v>
      </c>
      <c r="G10">
        <f t="shared" si="2"/>
        <v>1.5</v>
      </c>
      <c r="H10">
        <f t="shared" si="3"/>
        <v>3.8099999999999995E-2</v>
      </c>
      <c r="I10">
        <v>11.4</v>
      </c>
      <c r="K10">
        <f t="shared" si="14"/>
        <v>7.5</v>
      </c>
      <c r="L10">
        <f t="shared" si="4"/>
        <v>1.5</v>
      </c>
      <c r="M10">
        <f t="shared" si="5"/>
        <v>3.8099999999999995E-2</v>
      </c>
      <c r="N10">
        <v>11</v>
      </c>
      <c r="Q10">
        <f t="shared" si="15"/>
        <v>15</v>
      </c>
      <c r="R10">
        <f t="shared" si="6"/>
        <v>3</v>
      </c>
      <c r="S10">
        <f t="shared" si="7"/>
        <v>7.619999999999999E-2</v>
      </c>
      <c r="T10">
        <v>14.2</v>
      </c>
      <c r="V10">
        <f t="shared" si="16"/>
        <v>15</v>
      </c>
      <c r="W10">
        <f t="shared" si="8"/>
        <v>3</v>
      </c>
      <c r="X10">
        <f t="shared" si="9"/>
        <v>7.619999999999999E-2</v>
      </c>
      <c r="Y10">
        <v>12</v>
      </c>
      <c r="AA10">
        <f t="shared" si="17"/>
        <v>15</v>
      </c>
      <c r="AB10">
        <f t="shared" si="10"/>
        <v>3</v>
      </c>
      <c r="AC10">
        <f t="shared" si="11"/>
        <v>7.619999999999999E-2</v>
      </c>
      <c r="AD10">
        <v>11.8</v>
      </c>
    </row>
    <row r="11" spans="1:30" x14ac:dyDescent="0.5">
      <c r="A11">
        <f t="shared" si="12"/>
        <v>7.75</v>
      </c>
      <c r="B11">
        <f t="shared" si="0"/>
        <v>1.75</v>
      </c>
      <c r="C11">
        <f t="shared" si="1"/>
        <v>4.4449999999999996E-2</v>
      </c>
      <c r="D11">
        <v>12.6</v>
      </c>
      <c r="F11">
        <f t="shared" si="13"/>
        <v>7.75</v>
      </c>
      <c r="G11">
        <f t="shared" si="2"/>
        <v>1.75</v>
      </c>
      <c r="H11">
        <f t="shared" si="3"/>
        <v>4.4449999999999996E-2</v>
      </c>
      <c r="I11">
        <v>12.4</v>
      </c>
      <c r="K11">
        <f t="shared" si="14"/>
        <v>7.75</v>
      </c>
      <c r="L11">
        <f t="shared" si="4"/>
        <v>1.75</v>
      </c>
      <c r="M11">
        <f t="shared" si="5"/>
        <v>4.4449999999999996E-2</v>
      </c>
      <c r="N11">
        <v>11.8</v>
      </c>
      <c r="Q11">
        <f t="shared" si="15"/>
        <v>15.5</v>
      </c>
      <c r="R11">
        <f t="shared" si="6"/>
        <v>3.5</v>
      </c>
      <c r="S11">
        <f t="shared" si="7"/>
        <v>8.8899999999999993E-2</v>
      </c>
      <c r="T11">
        <v>15.6</v>
      </c>
      <c r="V11">
        <f t="shared" si="16"/>
        <v>15.5</v>
      </c>
      <c r="W11">
        <f t="shared" si="8"/>
        <v>3.5</v>
      </c>
      <c r="X11">
        <f t="shared" si="9"/>
        <v>8.8899999999999993E-2</v>
      </c>
      <c r="Y11">
        <v>13</v>
      </c>
      <c r="AA11">
        <f t="shared" si="17"/>
        <v>15.5</v>
      </c>
      <c r="AB11">
        <f t="shared" si="10"/>
        <v>3.5</v>
      </c>
      <c r="AC11">
        <f t="shared" si="11"/>
        <v>8.8899999999999993E-2</v>
      </c>
      <c r="AD11">
        <v>13</v>
      </c>
    </row>
    <row r="12" spans="1:30" x14ac:dyDescent="0.5">
      <c r="A12">
        <f t="shared" si="12"/>
        <v>8</v>
      </c>
      <c r="B12">
        <f t="shared" si="0"/>
        <v>2</v>
      </c>
      <c r="C12">
        <f t="shared" si="1"/>
        <v>5.0799999999999998E-2</v>
      </c>
      <c r="D12">
        <v>13.8</v>
      </c>
      <c r="F12">
        <f t="shared" si="13"/>
        <v>8</v>
      </c>
      <c r="G12">
        <f t="shared" si="2"/>
        <v>2</v>
      </c>
      <c r="H12">
        <f t="shared" si="3"/>
        <v>5.0799999999999998E-2</v>
      </c>
      <c r="I12">
        <v>13.8</v>
      </c>
      <c r="K12">
        <f t="shared" si="14"/>
        <v>8</v>
      </c>
      <c r="L12">
        <f t="shared" si="4"/>
        <v>2</v>
      </c>
      <c r="M12">
        <f t="shared" si="5"/>
        <v>5.0799999999999998E-2</v>
      </c>
      <c r="N12">
        <v>13.4</v>
      </c>
      <c r="Q12">
        <f t="shared" si="15"/>
        <v>16</v>
      </c>
      <c r="R12">
        <f t="shared" si="6"/>
        <v>4</v>
      </c>
      <c r="S12">
        <f t="shared" si="7"/>
        <v>0.1016</v>
      </c>
      <c r="T12">
        <v>17</v>
      </c>
      <c r="V12">
        <f t="shared" si="16"/>
        <v>16</v>
      </c>
      <c r="W12">
        <f t="shared" si="8"/>
        <v>4</v>
      </c>
      <c r="X12">
        <f t="shared" si="9"/>
        <v>0.1016</v>
      </c>
      <c r="Y12">
        <v>14.2</v>
      </c>
      <c r="AA12">
        <f t="shared" si="17"/>
        <v>16</v>
      </c>
      <c r="AB12">
        <f t="shared" si="10"/>
        <v>4</v>
      </c>
      <c r="AC12">
        <f t="shared" si="11"/>
        <v>0.1016</v>
      </c>
      <c r="AD12">
        <v>14.2</v>
      </c>
    </row>
    <row r="13" spans="1:30" x14ac:dyDescent="0.5">
      <c r="A13">
        <f t="shared" si="12"/>
        <v>8.25</v>
      </c>
      <c r="B13">
        <f t="shared" si="0"/>
        <v>2.25</v>
      </c>
      <c r="C13">
        <f t="shared" si="1"/>
        <v>5.7149999999999999E-2</v>
      </c>
      <c r="D13">
        <v>15</v>
      </c>
      <c r="F13">
        <f t="shared" si="13"/>
        <v>8.25</v>
      </c>
      <c r="G13">
        <f t="shared" si="2"/>
        <v>2.25</v>
      </c>
      <c r="H13">
        <f t="shared" si="3"/>
        <v>5.7149999999999999E-2</v>
      </c>
      <c r="I13">
        <v>15</v>
      </c>
      <c r="K13">
        <f t="shared" si="14"/>
        <v>8.25</v>
      </c>
      <c r="L13">
        <f t="shared" si="4"/>
        <v>2.25</v>
      </c>
      <c r="M13">
        <f t="shared" si="5"/>
        <v>5.7149999999999999E-2</v>
      </c>
      <c r="N13">
        <v>14.8</v>
      </c>
      <c r="Q13">
        <f t="shared" si="15"/>
        <v>16.5</v>
      </c>
      <c r="R13">
        <f t="shared" si="6"/>
        <v>4.5</v>
      </c>
      <c r="S13">
        <f t="shared" si="7"/>
        <v>0.1143</v>
      </c>
      <c r="T13">
        <v>18.2</v>
      </c>
      <c r="V13">
        <f t="shared" si="16"/>
        <v>16.5</v>
      </c>
      <c r="W13">
        <f t="shared" si="8"/>
        <v>4.5</v>
      </c>
      <c r="X13">
        <f t="shared" si="9"/>
        <v>0.1143</v>
      </c>
      <c r="Y13">
        <v>15.4</v>
      </c>
      <c r="AA13">
        <f t="shared" si="17"/>
        <v>16.5</v>
      </c>
      <c r="AB13">
        <f t="shared" si="10"/>
        <v>4.5</v>
      </c>
      <c r="AC13">
        <f t="shared" si="11"/>
        <v>0.1143</v>
      </c>
      <c r="AD13">
        <v>15.4</v>
      </c>
    </row>
    <row r="14" spans="1:30" x14ac:dyDescent="0.5">
      <c r="A14">
        <f t="shared" si="12"/>
        <v>8.5</v>
      </c>
      <c r="B14">
        <f t="shared" si="0"/>
        <v>2.5</v>
      </c>
      <c r="C14">
        <f t="shared" si="1"/>
        <v>6.3500000000000001E-2</v>
      </c>
      <c r="D14">
        <v>16</v>
      </c>
      <c r="F14">
        <f t="shared" si="13"/>
        <v>8.5</v>
      </c>
      <c r="G14">
        <f t="shared" si="2"/>
        <v>2.5</v>
      </c>
      <c r="H14">
        <f t="shared" si="3"/>
        <v>6.3500000000000001E-2</v>
      </c>
      <c r="I14">
        <v>15.8</v>
      </c>
      <c r="K14">
        <f t="shared" si="14"/>
        <v>8.5</v>
      </c>
      <c r="L14">
        <f t="shared" si="4"/>
        <v>2.5</v>
      </c>
      <c r="M14">
        <f t="shared" si="5"/>
        <v>6.3500000000000001E-2</v>
      </c>
      <c r="N14">
        <v>15.6</v>
      </c>
      <c r="Q14">
        <f t="shared" si="15"/>
        <v>17</v>
      </c>
      <c r="R14">
        <f t="shared" si="6"/>
        <v>5</v>
      </c>
      <c r="S14">
        <f t="shared" si="7"/>
        <v>0.127</v>
      </c>
      <c r="T14">
        <v>19.2</v>
      </c>
      <c r="V14">
        <f t="shared" si="16"/>
        <v>17</v>
      </c>
      <c r="W14">
        <f t="shared" si="8"/>
        <v>5</v>
      </c>
      <c r="X14">
        <f t="shared" si="9"/>
        <v>0.127</v>
      </c>
      <c r="Y14">
        <v>16.600000000000001</v>
      </c>
      <c r="AA14">
        <f t="shared" si="17"/>
        <v>17</v>
      </c>
      <c r="AB14">
        <f t="shared" si="10"/>
        <v>5</v>
      </c>
      <c r="AC14">
        <f t="shared" si="11"/>
        <v>0.127</v>
      </c>
      <c r="AD14">
        <v>16.600000000000001</v>
      </c>
    </row>
    <row r="15" spans="1:30" x14ac:dyDescent="0.5">
      <c r="A15">
        <f t="shared" si="12"/>
        <v>8.75</v>
      </c>
      <c r="B15">
        <f t="shared" si="0"/>
        <v>2.75</v>
      </c>
      <c r="C15">
        <f t="shared" si="1"/>
        <v>6.9849999999999995E-2</v>
      </c>
      <c r="D15">
        <v>17.2</v>
      </c>
      <c r="F15">
        <f t="shared" si="13"/>
        <v>8.75</v>
      </c>
      <c r="G15">
        <f t="shared" si="2"/>
        <v>2.75</v>
      </c>
      <c r="H15">
        <f t="shared" si="3"/>
        <v>6.9849999999999995E-2</v>
      </c>
      <c r="I15">
        <v>17.2</v>
      </c>
      <c r="K15">
        <f t="shared" si="14"/>
        <v>8.75</v>
      </c>
      <c r="L15">
        <f t="shared" si="4"/>
        <v>2.75</v>
      </c>
      <c r="M15">
        <f t="shared" si="5"/>
        <v>6.9849999999999995E-2</v>
      </c>
      <c r="N15">
        <v>16.399999999999999</v>
      </c>
      <c r="Q15">
        <f t="shared" si="15"/>
        <v>17.5</v>
      </c>
      <c r="R15">
        <f t="shared" si="6"/>
        <v>5.5</v>
      </c>
      <c r="S15">
        <f t="shared" si="7"/>
        <v>0.13969999999999999</v>
      </c>
      <c r="T15">
        <v>20.399999999999999</v>
      </c>
      <c r="V15">
        <f t="shared" si="16"/>
        <v>17.5</v>
      </c>
      <c r="W15">
        <f t="shared" si="8"/>
        <v>5.5</v>
      </c>
      <c r="X15">
        <f t="shared" si="9"/>
        <v>0.13969999999999999</v>
      </c>
      <c r="Y15">
        <v>17.600000000000001</v>
      </c>
      <c r="AA15">
        <f t="shared" si="17"/>
        <v>17.5</v>
      </c>
      <c r="AB15">
        <f t="shared" si="10"/>
        <v>5.5</v>
      </c>
      <c r="AC15">
        <f t="shared" si="11"/>
        <v>0.13969999999999999</v>
      </c>
      <c r="AD15">
        <v>17.600000000000001</v>
      </c>
    </row>
    <row r="16" spans="1:30" x14ac:dyDescent="0.5">
      <c r="A16">
        <f t="shared" si="12"/>
        <v>9</v>
      </c>
      <c r="B16">
        <f t="shared" si="0"/>
        <v>3</v>
      </c>
      <c r="C16">
        <f t="shared" si="1"/>
        <v>7.619999999999999E-2</v>
      </c>
      <c r="D16">
        <v>18.2</v>
      </c>
      <c r="F16">
        <f t="shared" si="13"/>
        <v>9</v>
      </c>
      <c r="G16">
        <f t="shared" si="2"/>
        <v>3</v>
      </c>
      <c r="H16">
        <f t="shared" si="3"/>
        <v>7.619999999999999E-2</v>
      </c>
      <c r="I16">
        <v>17.8</v>
      </c>
      <c r="K16">
        <f t="shared" si="14"/>
        <v>9</v>
      </c>
      <c r="L16">
        <f t="shared" si="4"/>
        <v>3</v>
      </c>
      <c r="M16">
        <f t="shared" si="5"/>
        <v>7.619999999999999E-2</v>
      </c>
      <c r="N16">
        <v>17.399999999999999</v>
      </c>
      <c r="Q16">
        <f t="shared" si="15"/>
        <v>18</v>
      </c>
      <c r="R16">
        <f t="shared" si="6"/>
        <v>6</v>
      </c>
      <c r="S16">
        <f t="shared" si="7"/>
        <v>0.15239999999999998</v>
      </c>
      <c r="T16">
        <v>21.4</v>
      </c>
      <c r="V16">
        <f t="shared" si="16"/>
        <v>18</v>
      </c>
      <c r="W16">
        <f t="shared" si="8"/>
        <v>6</v>
      </c>
      <c r="X16">
        <f t="shared" si="9"/>
        <v>0.15239999999999998</v>
      </c>
      <c r="Y16">
        <v>18.600000000000001</v>
      </c>
      <c r="AA16">
        <f t="shared" si="17"/>
        <v>18</v>
      </c>
      <c r="AB16">
        <f t="shared" si="10"/>
        <v>6</v>
      </c>
      <c r="AC16">
        <f t="shared" si="11"/>
        <v>0.15239999999999998</v>
      </c>
      <c r="AD16">
        <v>18.399999999999999</v>
      </c>
    </row>
    <row r="17" spans="1:30" x14ac:dyDescent="0.5">
      <c r="A17">
        <f t="shared" si="12"/>
        <v>9.25</v>
      </c>
      <c r="B17">
        <f t="shared" si="0"/>
        <v>3.25</v>
      </c>
      <c r="C17">
        <f t="shared" si="1"/>
        <v>8.2549999999999998E-2</v>
      </c>
      <c r="D17">
        <v>19.2</v>
      </c>
      <c r="F17">
        <f t="shared" si="13"/>
        <v>9.25</v>
      </c>
      <c r="G17">
        <f t="shared" si="2"/>
        <v>3.25</v>
      </c>
      <c r="H17">
        <f t="shared" si="3"/>
        <v>8.2549999999999998E-2</v>
      </c>
      <c r="I17">
        <v>18.600000000000001</v>
      </c>
      <c r="K17">
        <f t="shared" si="14"/>
        <v>9.25</v>
      </c>
      <c r="L17">
        <f t="shared" si="4"/>
        <v>3.25</v>
      </c>
      <c r="M17">
        <f t="shared" si="5"/>
        <v>8.2549999999999998E-2</v>
      </c>
      <c r="N17">
        <v>18.2</v>
      </c>
      <c r="Q17">
        <f t="shared" si="15"/>
        <v>18.5</v>
      </c>
      <c r="R17">
        <f t="shared" si="6"/>
        <v>6.5</v>
      </c>
      <c r="S17">
        <f t="shared" si="7"/>
        <v>0.1651</v>
      </c>
      <c r="T17">
        <v>22</v>
      </c>
      <c r="V17">
        <f t="shared" si="16"/>
        <v>18.5</v>
      </c>
      <c r="W17">
        <f t="shared" si="8"/>
        <v>6.5</v>
      </c>
      <c r="X17">
        <f t="shared" si="9"/>
        <v>0.1651</v>
      </c>
      <c r="Y17">
        <v>19</v>
      </c>
      <c r="AA17">
        <f t="shared" si="17"/>
        <v>18.5</v>
      </c>
      <c r="AB17">
        <f t="shared" si="10"/>
        <v>6.5</v>
      </c>
      <c r="AC17">
        <f t="shared" si="11"/>
        <v>0.1651</v>
      </c>
      <c r="AD17">
        <v>19.600000000000001</v>
      </c>
    </row>
    <row r="18" spans="1:30" x14ac:dyDescent="0.5">
      <c r="A18">
        <f t="shared" si="12"/>
        <v>9.5</v>
      </c>
      <c r="B18">
        <f t="shared" si="0"/>
        <v>3.5</v>
      </c>
      <c r="C18">
        <f t="shared" si="1"/>
        <v>8.8899999999999993E-2</v>
      </c>
      <c r="D18">
        <v>20</v>
      </c>
      <c r="F18">
        <f t="shared" si="13"/>
        <v>9.5</v>
      </c>
      <c r="G18">
        <f t="shared" si="2"/>
        <v>3.5</v>
      </c>
      <c r="H18">
        <f t="shared" si="3"/>
        <v>8.8899999999999993E-2</v>
      </c>
      <c r="I18">
        <v>19.600000000000001</v>
      </c>
      <c r="K18">
        <f t="shared" si="14"/>
        <v>9.5</v>
      </c>
      <c r="L18">
        <f t="shared" si="4"/>
        <v>3.5</v>
      </c>
      <c r="M18">
        <f t="shared" si="5"/>
        <v>8.8899999999999993E-2</v>
      </c>
      <c r="N18">
        <v>19.2</v>
      </c>
      <c r="Q18">
        <f t="shared" si="15"/>
        <v>19</v>
      </c>
      <c r="R18">
        <f t="shared" si="6"/>
        <v>7</v>
      </c>
      <c r="S18">
        <f t="shared" si="7"/>
        <v>0.17779999999999999</v>
      </c>
      <c r="T18">
        <v>23</v>
      </c>
      <c r="V18">
        <f t="shared" si="16"/>
        <v>19</v>
      </c>
      <c r="W18">
        <f t="shared" si="8"/>
        <v>7</v>
      </c>
      <c r="X18">
        <f t="shared" si="9"/>
        <v>0.17779999999999999</v>
      </c>
      <c r="Y18">
        <v>19.600000000000001</v>
      </c>
      <c r="AA18">
        <f t="shared" si="17"/>
        <v>19</v>
      </c>
      <c r="AB18">
        <f t="shared" si="10"/>
        <v>7</v>
      </c>
      <c r="AC18">
        <f t="shared" si="11"/>
        <v>0.17779999999999999</v>
      </c>
      <c r="AD18">
        <v>20.399999999999999</v>
      </c>
    </row>
    <row r="19" spans="1:30" x14ac:dyDescent="0.5">
      <c r="A19">
        <f t="shared" si="12"/>
        <v>9.75</v>
      </c>
      <c r="B19">
        <f t="shared" si="0"/>
        <v>3.75</v>
      </c>
      <c r="C19">
        <f t="shared" si="1"/>
        <v>9.5250000000000001E-2</v>
      </c>
      <c r="D19">
        <v>20.8</v>
      </c>
      <c r="F19">
        <f t="shared" si="13"/>
        <v>9.75</v>
      </c>
      <c r="G19">
        <f t="shared" si="2"/>
        <v>3.75</v>
      </c>
      <c r="H19">
        <f t="shared" si="3"/>
        <v>9.5250000000000001E-2</v>
      </c>
      <c r="I19">
        <v>20.6</v>
      </c>
      <c r="K19">
        <f t="shared" si="14"/>
        <v>9.75</v>
      </c>
      <c r="L19">
        <f t="shared" si="4"/>
        <v>3.75</v>
      </c>
      <c r="M19">
        <f t="shared" si="5"/>
        <v>9.5250000000000001E-2</v>
      </c>
      <c r="N19">
        <v>20.6</v>
      </c>
      <c r="Q19">
        <f t="shared" si="15"/>
        <v>19.5</v>
      </c>
      <c r="R19">
        <f t="shared" si="6"/>
        <v>7.5</v>
      </c>
      <c r="S19">
        <f>R19*0.0254</f>
        <v>0.1905</v>
      </c>
      <c r="T19">
        <v>24.2</v>
      </c>
      <c r="V19">
        <f t="shared" si="16"/>
        <v>19.5</v>
      </c>
      <c r="W19">
        <f t="shared" si="8"/>
        <v>7.5</v>
      </c>
      <c r="X19">
        <f>W19*0.0254</f>
        <v>0.1905</v>
      </c>
      <c r="Y19">
        <v>20.399999999999999</v>
      </c>
      <c r="AA19">
        <f t="shared" si="17"/>
        <v>19.5</v>
      </c>
      <c r="AB19">
        <f t="shared" si="10"/>
        <v>7.5</v>
      </c>
      <c r="AC19">
        <f>AB19*0.0254</f>
        <v>0.1905</v>
      </c>
      <c r="AD19">
        <v>21.4</v>
      </c>
    </row>
    <row r="20" spans="1:30" x14ac:dyDescent="0.5">
      <c r="A20">
        <f t="shared" si="12"/>
        <v>10</v>
      </c>
      <c r="B20">
        <f t="shared" si="0"/>
        <v>4</v>
      </c>
      <c r="C20">
        <f t="shared" si="1"/>
        <v>0.1016</v>
      </c>
      <c r="D20">
        <v>21.8</v>
      </c>
      <c r="F20">
        <f t="shared" si="13"/>
        <v>10</v>
      </c>
      <c r="G20">
        <f t="shared" si="2"/>
        <v>4</v>
      </c>
      <c r="H20">
        <f t="shared" si="3"/>
        <v>0.1016</v>
      </c>
      <c r="I20">
        <v>21.6</v>
      </c>
      <c r="K20">
        <f t="shared" si="14"/>
        <v>10</v>
      </c>
      <c r="L20">
        <f t="shared" si="4"/>
        <v>4</v>
      </c>
      <c r="M20">
        <f t="shared" si="5"/>
        <v>0.1016</v>
      </c>
      <c r="N20">
        <v>20.6</v>
      </c>
      <c r="Q20">
        <f t="shared" si="15"/>
        <v>20</v>
      </c>
      <c r="R20">
        <f t="shared" si="6"/>
        <v>8</v>
      </c>
      <c r="S20">
        <f t="shared" si="7"/>
        <v>0.20319999999999999</v>
      </c>
      <c r="T20">
        <v>25.2</v>
      </c>
      <c r="V20">
        <f t="shared" si="16"/>
        <v>20</v>
      </c>
      <c r="W20">
        <f t="shared" si="8"/>
        <v>8</v>
      </c>
      <c r="X20">
        <f t="shared" si="9"/>
        <v>0.20319999999999999</v>
      </c>
      <c r="Y20">
        <v>21.2</v>
      </c>
      <c r="AA20">
        <f t="shared" si="17"/>
        <v>20</v>
      </c>
      <c r="AB20">
        <f t="shared" si="10"/>
        <v>8</v>
      </c>
      <c r="AC20">
        <f t="shared" si="11"/>
        <v>0.20319999999999999</v>
      </c>
      <c r="AD20">
        <v>22.2</v>
      </c>
    </row>
    <row r="21" spans="1:30" x14ac:dyDescent="0.5">
      <c r="A21">
        <f t="shared" si="12"/>
        <v>10.25</v>
      </c>
      <c r="B21">
        <f t="shared" si="0"/>
        <v>4.25</v>
      </c>
      <c r="C21">
        <f t="shared" si="1"/>
        <v>0.10794999999999999</v>
      </c>
      <c r="D21">
        <v>22.6</v>
      </c>
      <c r="F21">
        <f t="shared" si="13"/>
        <v>10.25</v>
      </c>
      <c r="G21">
        <f t="shared" si="2"/>
        <v>4.25</v>
      </c>
      <c r="H21">
        <f t="shared" si="3"/>
        <v>0.10794999999999999</v>
      </c>
      <c r="I21">
        <v>22.4</v>
      </c>
      <c r="K21">
        <f t="shared" si="14"/>
        <v>10.25</v>
      </c>
      <c r="L21">
        <f t="shared" si="4"/>
        <v>4.25</v>
      </c>
      <c r="M21">
        <f t="shared" si="5"/>
        <v>0.10794999999999999</v>
      </c>
      <c r="N21">
        <v>21.6</v>
      </c>
      <c r="Q21">
        <f t="shared" si="15"/>
        <v>20.5</v>
      </c>
      <c r="R21">
        <f t="shared" si="6"/>
        <v>8.5</v>
      </c>
      <c r="S21">
        <f t="shared" si="7"/>
        <v>0.21589999999999998</v>
      </c>
      <c r="T21">
        <v>26</v>
      </c>
      <c r="V21">
        <f t="shared" si="16"/>
        <v>20.5</v>
      </c>
      <c r="W21">
        <f t="shared" si="8"/>
        <v>8.5</v>
      </c>
      <c r="X21">
        <f t="shared" si="9"/>
        <v>0.21589999999999998</v>
      </c>
      <c r="Y21">
        <v>22.2</v>
      </c>
      <c r="AA21">
        <f t="shared" si="17"/>
        <v>20.5</v>
      </c>
      <c r="AB21">
        <f t="shared" si="10"/>
        <v>8.5</v>
      </c>
      <c r="AC21">
        <f t="shared" si="11"/>
        <v>0.21589999999999998</v>
      </c>
      <c r="AD21">
        <v>22.8</v>
      </c>
    </row>
    <row r="22" spans="1:30" x14ac:dyDescent="0.5">
      <c r="A22">
        <f t="shared" si="12"/>
        <v>10.5</v>
      </c>
      <c r="B22">
        <f t="shared" si="0"/>
        <v>4.5</v>
      </c>
      <c r="C22">
        <f t="shared" si="1"/>
        <v>0.1143</v>
      </c>
      <c r="D22">
        <v>23.4</v>
      </c>
      <c r="F22">
        <f t="shared" si="13"/>
        <v>10.5</v>
      </c>
      <c r="G22">
        <f t="shared" si="2"/>
        <v>4.5</v>
      </c>
      <c r="H22">
        <f t="shared" si="3"/>
        <v>0.1143</v>
      </c>
      <c r="I22">
        <v>23.2</v>
      </c>
      <c r="K22">
        <f t="shared" si="14"/>
        <v>10.5</v>
      </c>
      <c r="L22">
        <f t="shared" si="4"/>
        <v>4.5</v>
      </c>
      <c r="M22">
        <f t="shared" si="5"/>
        <v>0.1143</v>
      </c>
      <c r="N22">
        <v>22.8</v>
      </c>
      <c r="Q22">
        <f t="shared" si="15"/>
        <v>21</v>
      </c>
      <c r="R22">
        <f t="shared" si="6"/>
        <v>9</v>
      </c>
      <c r="S22">
        <f t="shared" si="7"/>
        <v>0.2286</v>
      </c>
      <c r="T22">
        <v>26.8</v>
      </c>
      <c r="V22">
        <f t="shared" si="16"/>
        <v>21</v>
      </c>
      <c r="W22">
        <f t="shared" si="8"/>
        <v>9</v>
      </c>
      <c r="X22">
        <f t="shared" si="9"/>
        <v>0.2286</v>
      </c>
      <c r="Y22">
        <v>22.8</v>
      </c>
      <c r="AA22">
        <f t="shared" si="17"/>
        <v>21</v>
      </c>
      <c r="AB22">
        <f t="shared" si="10"/>
        <v>9</v>
      </c>
      <c r="AC22">
        <f t="shared" si="11"/>
        <v>0.2286</v>
      </c>
      <c r="AD22">
        <v>23.8</v>
      </c>
    </row>
    <row r="23" spans="1:30" x14ac:dyDescent="0.5">
      <c r="A23">
        <f t="shared" si="12"/>
        <v>10.75</v>
      </c>
      <c r="B23">
        <f t="shared" si="0"/>
        <v>4.75</v>
      </c>
      <c r="C23">
        <f t="shared" si="1"/>
        <v>0.12064999999999999</v>
      </c>
      <c r="D23">
        <v>24</v>
      </c>
      <c r="F23">
        <f t="shared" si="13"/>
        <v>10.75</v>
      </c>
      <c r="G23">
        <f t="shared" si="2"/>
        <v>4.75</v>
      </c>
      <c r="H23">
        <f t="shared" si="3"/>
        <v>0.12064999999999999</v>
      </c>
      <c r="I23">
        <v>24</v>
      </c>
      <c r="K23">
        <f t="shared" si="14"/>
        <v>10.75</v>
      </c>
      <c r="L23">
        <f t="shared" si="4"/>
        <v>4.75</v>
      </c>
      <c r="M23">
        <f t="shared" si="5"/>
        <v>0.12064999999999999</v>
      </c>
      <c r="N23">
        <v>23.4</v>
      </c>
      <c r="Q23">
        <f t="shared" si="15"/>
        <v>21.5</v>
      </c>
      <c r="R23">
        <f t="shared" si="6"/>
        <v>9.5</v>
      </c>
      <c r="S23">
        <f t="shared" si="7"/>
        <v>0.24129999999999999</v>
      </c>
      <c r="T23">
        <v>27.8</v>
      </c>
      <c r="V23">
        <f t="shared" si="16"/>
        <v>21.5</v>
      </c>
      <c r="W23">
        <f t="shared" si="8"/>
        <v>9.5</v>
      </c>
      <c r="X23">
        <f t="shared" si="9"/>
        <v>0.24129999999999999</v>
      </c>
      <c r="Y23">
        <v>23.8</v>
      </c>
      <c r="AA23">
        <f t="shared" si="17"/>
        <v>21.5</v>
      </c>
      <c r="AB23">
        <f t="shared" si="10"/>
        <v>9.5</v>
      </c>
      <c r="AC23">
        <f t="shared" si="11"/>
        <v>0.24129999999999999</v>
      </c>
      <c r="AD23">
        <v>24.2</v>
      </c>
    </row>
    <row r="24" spans="1:30" x14ac:dyDescent="0.5">
      <c r="A24">
        <f t="shared" si="12"/>
        <v>11</v>
      </c>
      <c r="B24">
        <f t="shared" si="0"/>
        <v>5</v>
      </c>
      <c r="C24">
        <f t="shared" si="1"/>
        <v>0.127</v>
      </c>
      <c r="D24">
        <v>24.8</v>
      </c>
      <c r="F24">
        <f t="shared" si="13"/>
        <v>11</v>
      </c>
      <c r="G24">
        <f t="shared" si="2"/>
        <v>5</v>
      </c>
      <c r="H24">
        <f t="shared" si="3"/>
        <v>0.127</v>
      </c>
      <c r="I24">
        <v>24.8</v>
      </c>
      <c r="K24">
        <f t="shared" si="14"/>
        <v>11</v>
      </c>
      <c r="L24">
        <f t="shared" si="4"/>
        <v>5</v>
      </c>
      <c r="M24">
        <f t="shared" si="5"/>
        <v>0.127</v>
      </c>
      <c r="N24">
        <v>24.2</v>
      </c>
      <c r="Q24">
        <f t="shared" si="15"/>
        <v>22</v>
      </c>
      <c r="R24">
        <f t="shared" si="6"/>
        <v>10</v>
      </c>
      <c r="S24">
        <f t="shared" si="7"/>
        <v>0.254</v>
      </c>
      <c r="T24">
        <v>28.4</v>
      </c>
      <c r="V24">
        <f t="shared" si="16"/>
        <v>22</v>
      </c>
      <c r="W24">
        <f t="shared" si="8"/>
        <v>10</v>
      </c>
      <c r="X24">
        <f t="shared" si="9"/>
        <v>0.254</v>
      </c>
      <c r="Y24">
        <v>24.4</v>
      </c>
      <c r="AA24">
        <f t="shared" si="17"/>
        <v>22</v>
      </c>
      <c r="AB24">
        <f t="shared" si="10"/>
        <v>10</v>
      </c>
      <c r="AC24">
        <f t="shared" si="11"/>
        <v>0.254</v>
      </c>
      <c r="AD24">
        <v>25</v>
      </c>
    </row>
    <row r="25" spans="1:30" x14ac:dyDescent="0.5">
      <c r="A25">
        <f t="shared" si="12"/>
        <v>11.25</v>
      </c>
      <c r="B25">
        <f t="shared" si="0"/>
        <v>5.25</v>
      </c>
      <c r="C25">
        <f t="shared" si="1"/>
        <v>0.13335</v>
      </c>
      <c r="D25">
        <v>25.6</v>
      </c>
      <c r="F25">
        <f t="shared" si="13"/>
        <v>11.25</v>
      </c>
      <c r="G25">
        <f t="shared" si="2"/>
        <v>5.25</v>
      </c>
      <c r="H25">
        <f t="shared" si="3"/>
        <v>0.13335</v>
      </c>
      <c r="I25">
        <v>25.6</v>
      </c>
      <c r="K25">
        <f t="shared" si="14"/>
        <v>11.25</v>
      </c>
      <c r="L25">
        <f t="shared" si="4"/>
        <v>5.25</v>
      </c>
      <c r="M25">
        <f t="shared" si="5"/>
        <v>0.13335</v>
      </c>
      <c r="N25">
        <v>24.8</v>
      </c>
      <c r="Q25">
        <f t="shared" si="15"/>
        <v>22.5</v>
      </c>
      <c r="R25">
        <f t="shared" si="6"/>
        <v>10.5</v>
      </c>
      <c r="S25">
        <f t="shared" si="7"/>
        <v>0.26669999999999999</v>
      </c>
      <c r="T25">
        <v>29.4</v>
      </c>
      <c r="V25">
        <f t="shared" si="16"/>
        <v>22.5</v>
      </c>
      <c r="W25">
        <f t="shared" si="8"/>
        <v>10.5</v>
      </c>
      <c r="X25">
        <f t="shared" si="9"/>
        <v>0.26669999999999999</v>
      </c>
      <c r="Y25">
        <v>25.2</v>
      </c>
      <c r="AA25">
        <f t="shared" si="17"/>
        <v>22.5</v>
      </c>
      <c r="AB25">
        <f t="shared" si="10"/>
        <v>10.5</v>
      </c>
      <c r="AC25">
        <f t="shared" si="11"/>
        <v>0.26669999999999999</v>
      </c>
      <c r="AD25">
        <v>25.8</v>
      </c>
    </row>
    <row r="26" spans="1:30" x14ac:dyDescent="0.5">
      <c r="A26">
        <f t="shared" si="12"/>
        <v>11.5</v>
      </c>
      <c r="B26">
        <f t="shared" si="0"/>
        <v>5.5</v>
      </c>
      <c r="C26">
        <f t="shared" si="1"/>
        <v>0.13969999999999999</v>
      </c>
      <c r="D26">
        <v>25.8</v>
      </c>
      <c r="F26">
        <f t="shared" si="13"/>
        <v>11.5</v>
      </c>
      <c r="G26">
        <f t="shared" si="2"/>
        <v>5.5</v>
      </c>
      <c r="H26">
        <f t="shared" si="3"/>
        <v>0.13969999999999999</v>
      </c>
      <c r="I26">
        <v>26.2</v>
      </c>
      <c r="K26">
        <f t="shared" si="14"/>
        <v>11.5</v>
      </c>
      <c r="L26">
        <f t="shared" si="4"/>
        <v>5.5</v>
      </c>
      <c r="M26">
        <f t="shared" si="5"/>
        <v>0.13969999999999999</v>
      </c>
      <c r="N26">
        <v>25.6</v>
      </c>
      <c r="Q26">
        <f t="shared" si="15"/>
        <v>23</v>
      </c>
      <c r="R26">
        <f t="shared" si="6"/>
        <v>11</v>
      </c>
      <c r="S26">
        <f t="shared" si="7"/>
        <v>0.27939999999999998</v>
      </c>
      <c r="T26">
        <v>30.2</v>
      </c>
      <c r="V26">
        <f t="shared" si="16"/>
        <v>23</v>
      </c>
      <c r="W26">
        <f t="shared" si="8"/>
        <v>11</v>
      </c>
      <c r="X26">
        <f t="shared" si="9"/>
        <v>0.27939999999999998</v>
      </c>
      <c r="Y26">
        <v>25.8</v>
      </c>
      <c r="AA26">
        <f t="shared" si="17"/>
        <v>23</v>
      </c>
      <c r="AB26">
        <f t="shared" si="10"/>
        <v>11</v>
      </c>
      <c r="AC26">
        <f t="shared" si="11"/>
        <v>0.27939999999999998</v>
      </c>
      <c r="AD26">
        <v>26.4</v>
      </c>
    </row>
    <row r="27" spans="1:30" x14ac:dyDescent="0.5">
      <c r="A27">
        <f t="shared" si="12"/>
        <v>11.75</v>
      </c>
      <c r="B27">
        <f t="shared" si="0"/>
        <v>5.75</v>
      </c>
      <c r="C27">
        <f t="shared" si="1"/>
        <v>0.14604999999999999</v>
      </c>
      <c r="D27">
        <v>26.4</v>
      </c>
      <c r="F27">
        <f t="shared" si="13"/>
        <v>11.75</v>
      </c>
      <c r="G27">
        <f t="shared" si="2"/>
        <v>5.75</v>
      </c>
      <c r="H27">
        <f t="shared" si="3"/>
        <v>0.14604999999999999</v>
      </c>
      <c r="I27">
        <v>27</v>
      </c>
      <c r="K27">
        <f t="shared" si="14"/>
        <v>11.75</v>
      </c>
      <c r="L27">
        <f t="shared" si="4"/>
        <v>5.75</v>
      </c>
      <c r="M27">
        <f t="shared" si="5"/>
        <v>0.14604999999999999</v>
      </c>
      <c r="N27">
        <v>26.4</v>
      </c>
      <c r="Q27">
        <f t="shared" si="15"/>
        <v>23.5</v>
      </c>
      <c r="R27">
        <f t="shared" si="6"/>
        <v>11.5</v>
      </c>
      <c r="S27">
        <f t="shared" si="7"/>
        <v>0.29209999999999997</v>
      </c>
      <c r="T27">
        <v>30.8</v>
      </c>
      <c r="V27">
        <f t="shared" si="16"/>
        <v>23.5</v>
      </c>
      <c r="W27">
        <f t="shared" si="8"/>
        <v>11.5</v>
      </c>
      <c r="X27">
        <f t="shared" si="9"/>
        <v>0.29209999999999997</v>
      </c>
      <c r="Y27">
        <v>26.6</v>
      </c>
      <c r="AA27">
        <f t="shared" si="17"/>
        <v>23.5</v>
      </c>
      <c r="AB27">
        <f t="shared" si="10"/>
        <v>11.5</v>
      </c>
      <c r="AC27">
        <f t="shared" si="11"/>
        <v>0.29209999999999997</v>
      </c>
      <c r="AD27">
        <v>27</v>
      </c>
    </row>
    <row r="28" spans="1:30" x14ac:dyDescent="0.5">
      <c r="A28">
        <f t="shared" si="12"/>
        <v>12</v>
      </c>
      <c r="B28">
        <f t="shared" si="0"/>
        <v>6</v>
      </c>
      <c r="C28">
        <f t="shared" si="1"/>
        <v>0.15239999999999998</v>
      </c>
      <c r="D28">
        <v>27.6</v>
      </c>
      <c r="F28">
        <f t="shared" si="13"/>
        <v>12</v>
      </c>
      <c r="G28">
        <f t="shared" si="2"/>
        <v>6</v>
      </c>
      <c r="H28">
        <f t="shared" si="3"/>
        <v>0.15239999999999998</v>
      </c>
      <c r="I28">
        <v>27.8</v>
      </c>
      <c r="K28">
        <f t="shared" si="14"/>
        <v>12</v>
      </c>
      <c r="L28">
        <f t="shared" si="4"/>
        <v>6</v>
      </c>
      <c r="M28">
        <f t="shared" si="5"/>
        <v>0.15239999999999998</v>
      </c>
      <c r="N28">
        <v>27.2</v>
      </c>
      <c r="Q28">
        <f t="shared" si="15"/>
        <v>24</v>
      </c>
      <c r="R28">
        <f t="shared" si="6"/>
        <v>12</v>
      </c>
      <c r="S28">
        <f t="shared" si="7"/>
        <v>0.30479999999999996</v>
      </c>
      <c r="T28">
        <v>31.6</v>
      </c>
      <c r="V28">
        <f t="shared" si="16"/>
        <v>24</v>
      </c>
      <c r="W28">
        <f t="shared" si="8"/>
        <v>12</v>
      </c>
      <c r="X28">
        <f t="shared" si="9"/>
        <v>0.30479999999999996</v>
      </c>
      <c r="Y28">
        <v>27.2</v>
      </c>
      <c r="AA28">
        <f t="shared" si="17"/>
        <v>24</v>
      </c>
      <c r="AB28">
        <f t="shared" si="10"/>
        <v>12</v>
      </c>
      <c r="AC28">
        <f t="shared" si="11"/>
        <v>0.30479999999999996</v>
      </c>
      <c r="AD28">
        <v>27.8</v>
      </c>
    </row>
    <row r="29" spans="1:30" x14ac:dyDescent="0.5">
      <c r="A29">
        <f t="shared" si="12"/>
        <v>12.25</v>
      </c>
      <c r="B29">
        <f t="shared" si="0"/>
        <v>6.25</v>
      </c>
      <c r="C29">
        <f t="shared" si="1"/>
        <v>0.15875</v>
      </c>
      <c r="D29">
        <v>28.4</v>
      </c>
      <c r="F29">
        <f t="shared" si="13"/>
        <v>12.25</v>
      </c>
      <c r="G29">
        <f t="shared" si="2"/>
        <v>6.25</v>
      </c>
      <c r="H29">
        <f t="shared" si="3"/>
        <v>0.15875</v>
      </c>
      <c r="I29">
        <v>28.2</v>
      </c>
      <c r="K29">
        <f t="shared" si="14"/>
        <v>12.25</v>
      </c>
      <c r="L29">
        <f t="shared" si="4"/>
        <v>6.25</v>
      </c>
      <c r="M29">
        <f t="shared" si="5"/>
        <v>0.15875</v>
      </c>
      <c r="N29">
        <v>28</v>
      </c>
      <c r="Q29">
        <f t="shared" si="15"/>
        <v>24.5</v>
      </c>
      <c r="R29">
        <f t="shared" si="6"/>
        <v>12.5</v>
      </c>
      <c r="S29">
        <f t="shared" si="7"/>
        <v>0.3175</v>
      </c>
      <c r="T29">
        <v>32.4</v>
      </c>
      <c r="V29">
        <f t="shared" si="16"/>
        <v>24.5</v>
      </c>
      <c r="W29">
        <f t="shared" si="8"/>
        <v>12.5</v>
      </c>
      <c r="X29">
        <f t="shared" si="9"/>
        <v>0.3175</v>
      </c>
      <c r="Y29">
        <v>28.6</v>
      </c>
      <c r="AA29">
        <f t="shared" si="17"/>
        <v>24.5</v>
      </c>
      <c r="AB29">
        <f t="shared" si="10"/>
        <v>12.5</v>
      </c>
      <c r="AC29">
        <f t="shared" si="11"/>
        <v>0.3175</v>
      </c>
      <c r="AD29">
        <v>28.4</v>
      </c>
    </row>
    <row r="30" spans="1:30" x14ac:dyDescent="0.5">
      <c r="A30">
        <f t="shared" si="12"/>
        <v>12.5</v>
      </c>
      <c r="B30">
        <f t="shared" si="0"/>
        <v>6.5</v>
      </c>
      <c r="C30">
        <f t="shared" si="1"/>
        <v>0.1651</v>
      </c>
      <c r="D30">
        <v>29.2</v>
      </c>
      <c r="F30">
        <f t="shared" si="13"/>
        <v>12.5</v>
      </c>
      <c r="G30">
        <f t="shared" si="2"/>
        <v>6.5</v>
      </c>
      <c r="H30">
        <f t="shared" si="3"/>
        <v>0.1651</v>
      </c>
      <c r="I30">
        <v>29</v>
      </c>
      <c r="K30">
        <f t="shared" si="14"/>
        <v>12.5</v>
      </c>
      <c r="L30">
        <f t="shared" si="4"/>
        <v>6.5</v>
      </c>
      <c r="M30">
        <f t="shared" si="5"/>
        <v>0.1651</v>
      </c>
      <c r="N30">
        <v>28.6</v>
      </c>
      <c r="Q30">
        <f t="shared" si="15"/>
        <v>25</v>
      </c>
      <c r="R30">
        <f t="shared" si="6"/>
        <v>13</v>
      </c>
      <c r="S30">
        <f t="shared" si="7"/>
        <v>0.33019999999999999</v>
      </c>
      <c r="T30">
        <v>33</v>
      </c>
      <c r="V30">
        <f t="shared" si="16"/>
        <v>25</v>
      </c>
      <c r="W30">
        <f t="shared" si="8"/>
        <v>13</v>
      </c>
      <c r="X30">
        <f t="shared" si="9"/>
        <v>0.33019999999999999</v>
      </c>
      <c r="Y30">
        <v>29.4</v>
      </c>
      <c r="AA30">
        <f t="shared" si="17"/>
        <v>25</v>
      </c>
      <c r="AB30">
        <f t="shared" si="10"/>
        <v>13</v>
      </c>
      <c r="AC30">
        <f t="shared" si="11"/>
        <v>0.33019999999999999</v>
      </c>
      <c r="AD30">
        <v>29</v>
      </c>
    </row>
    <row r="31" spans="1:30" x14ac:dyDescent="0.5">
      <c r="A31">
        <f t="shared" si="12"/>
        <v>12.75</v>
      </c>
      <c r="B31">
        <f t="shared" si="0"/>
        <v>6.75</v>
      </c>
      <c r="C31">
        <f t="shared" si="1"/>
        <v>0.17144999999999999</v>
      </c>
      <c r="D31">
        <v>30</v>
      </c>
      <c r="F31">
        <f t="shared" si="13"/>
        <v>12.75</v>
      </c>
      <c r="G31">
        <f t="shared" si="2"/>
        <v>6.75</v>
      </c>
      <c r="H31">
        <f t="shared" si="3"/>
        <v>0.17144999999999999</v>
      </c>
      <c r="I31">
        <v>29.6</v>
      </c>
      <c r="K31">
        <f t="shared" si="14"/>
        <v>12.75</v>
      </c>
      <c r="L31">
        <f t="shared" si="4"/>
        <v>6.75</v>
      </c>
      <c r="M31">
        <f t="shared" si="5"/>
        <v>0.17144999999999999</v>
      </c>
      <c r="N31">
        <v>29.2</v>
      </c>
      <c r="Q31">
        <f t="shared" si="15"/>
        <v>25.5</v>
      </c>
      <c r="R31">
        <f t="shared" si="6"/>
        <v>13.5</v>
      </c>
      <c r="S31">
        <f t="shared" si="7"/>
        <v>0.34289999999999998</v>
      </c>
      <c r="T31">
        <v>33.6</v>
      </c>
      <c r="V31">
        <f t="shared" si="16"/>
        <v>25.5</v>
      </c>
      <c r="W31">
        <f t="shared" si="8"/>
        <v>13.5</v>
      </c>
      <c r="X31">
        <f t="shared" si="9"/>
        <v>0.34289999999999998</v>
      </c>
      <c r="Y31">
        <v>30</v>
      </c>
      <c r="AA31">
        <f t="shared" si="17"/>
        <v>25.5</v>
      </c>
      <c r="AB31">
        <f t="shared" si="10"/>
        <v>13.5</v>
      </c>
      <c r="AC31">
        <f t="shared" si="11"/>
        <v>0.34289999999999998</v>
      </c>
      <c r="AD31">
        <v>29.8</v>
      </c>
    </row>
    <row r="32" spans="1:30" x14ac:dyDescent="0.5">
      <c r="A32">
        <f t="shared" si="12"/>
        <v>13</v>
      </c>
      <c r="B32">
        <f t="shared" si="0"/>
        <v>7</v>
      </c>
      <c r="C32">
        <f t="shared" si="1"/>
        <v>0.17779999999999999</v>
      </c>
      <c r="D32">
        <v>30.4</v>
      </c>
      <c r="F32">
        <f t="shared" si="13"/>
        <v>13</v>
      </c>
      <c r="G32">
        <f t="shared" si="2"/>
        <v>7</v>
      </c>
      <c r="H32">
        <f t="shared" si="3"/>
        <v>0.17779999999999999</v>
      </c>
      <c r="I32">
        <v>30.2</v>
      </c>
      <c r="K32">
        <f t="shared" si="14"/>
        <v>13</v>
      </c>
      <c r="L32">
        <f t="shared" si="4"/>
        <v>7</v>
      </c>
      <c r="M32">
        <f t="shared" si="5"/>
        <v>0.17779999999999999</v>
      </c>
      <c r="N32">
        <v>30</v>
      </c>
      <c r="Q32">
        <f t="shared" si="15"/>
        <v>26</v>
      </c>
      <c r="R32">
        <f t="shared" si="6"/>
        <v>14</v>
      </c>
      <c r="S32">
        <f t="shared" si="7"/>
        <v>0.35559999999999997</v>
      </c>
      <c r="T32">
        <v>34.200000000000003</v>
      </c>
      <c r="V32">
        <f t="shared" si="16"/>
        <v>26</v>
      </c>
      <c r="W32">
        <f t="shared" si="8"/>
        <v>14</v>
      </c>
      <c r="X32">
        <f t="shared" si="9"/>
        <v>0.35559999999999997</v>
      </c>
      <c r="Y32">
        <v>30.6</v>
      </c>
      <c r="AA32">
        <f t="shared" si="17"/>
        <v>26</v>
      </c>
      <c r="AB32">
        <f t="shared" si="10"/>
        <v>14</v>
      </c>
      <c r="AC32">
        <f t="shared" si="11"/>
        <v>0.35559999999999997</v>
      </c>
      <c r="AD32">
        <v>30.4</v>
      </c>
    </row>
    <row r="33" spans="1:30" x14ac:dyDescent="0.5">
      <c r="A33">
        <f t="shared" si="12"/>
        <v>13.25</v>
      </c>
      <c r="B33">
        <f t="shared" si="0"/>
        <v>7.25</v>
      </c>
      <c r="C33">
        <f t="shared" si="1"/>
        <v>0.18414999999999998</v>
      </c>
      <c r="D33">
        <v>31.4</v>
      </c>
      <c r="F33">
        <f t="shared" si="13"/>
        <v>13.25</v>
      </c>
      <c r="G33">
        <f t="shared" si="2"/>
        <v>7.25</v>
      </c>
      <c r="H33">
        <f t="shared" si="3"/>
        <v>0.18414999999999998</v>
      </c>
      <c r="I33">
        <v>30.8</v>
      </c>
      <c r="K33">
        <f t="shared" si="14"/>
        <v>13.25</v>
      </c>
      <c r="L33">
        <f t="shared" si="4"/>
        <v>7.25</v>
      </c>
      <c r="M33">
        <f t="shared" si="5"/>
        <v>0.18414999999999998</v>
      </c>
      <c r="N33">
        <v>30.8</v>
      </c>
      <c r="Q33">
        <f t="shared" si="15"/>
        <v>26.5</v>
      </c>
      <c r="R33">
        <f t="shared" si="6"/>
        <v>14.5</v>
      </c>
      <c r="S33">
        <f t="shared" si="7"/>
        <v>0.36829999999999996</v>
      </c>
      <c r="T33">
        <v>35</v>
      </c>
      <c r="V33">
        <f t="shared" si="16"/>
        <v>26.5</v>
      </c>
      <c r="W33">
        <f t="shared" si="8"/>
        <v>14.5</v>
      </c>
      <c r="X33">
        <f t="shared" si="9"/>
        <v>0.36829999999999996</v>
      </c>
      <c r="Y33">
        <v>31.4</v>
      </c>
      <c r="AA33">
        <f t="shared" si="17"/>
        <v>26.5</v>
      </c>
      <c r="AB33">
        <f t="shared" si="10"/>
        <v>14.5</v>
      </c>
      <c r="AC33">
        <f t="shared" si="11"/>
        <v>0.36829999999999996</v>
      </c>
      <c r="AD33">
        <v>31.2</v>
      </c>
    </row>
    <row r="34" spans="1:30" x14ac:dyDescent="0.5">
      <c r="A34">
        <f t="shared" si="12"/>
        <v>13.5</v>
      </c>
      <c r="B34">
        <f t="shared" si="0"/>
        <v>7.5</v>
      </c>
      <c r="C34">
        <f t="shared" si="1"/>
        <v>0.1905</v>
      </c>
      <c r="D34">
        <v>32</v>
      </c>
      <c r="F34">
        <f t="shared" si="13"/>
        <v>13.5</v>
      </c>
      <c r="G34">
        <f t="shared" si="2"/>
        <v>7.5</v>
      </c>
      <c r="H34">
        <f t="shared" si="3"/>
        <v>0.1905</v>
      </c>
      <c r="I34">
        <v>31.6</v>
      </c>
      <c r="K34">
        <f t="shared" si="14"/>
        <v>13.5</v>
      </c>
      <c r="L34">
        <f t="shared" si="4"/>
        <v>7.5</v>
      </c>
      <c r="M34">
        <f t="shared" si="5"/>
        <v>0.1905</v>
      </c>
      <c r="N34">
        <v>31.4</v>
      </c>
      <c r="Q34">
        <f t="shared" si="15"/>
        <v>27</v>
      </c>
      <c r="R34">
        <f t="shared" si="6"/>
        <v>15</v>
      </c>
      <c r="S34">
        <f t="shared" si="7"/>
        <v>0.38100000000000001</v>
      </c>
      <c r="T34">
        <v>35.799999999999997</v>
      </c>
      <c r="V34">
        <f t="shared" si="16"/>
        <v>27</v>
      </c>
      <c r="W34">
        <f t="shared" si="8"/>
        <v>15</v>
      </c>
      <c r="X34">
        <f t="shared" si="9"/>
        <v>0.38100000000000001</v>
      </c>
      <c r="Y34">
        <v>32</v>
      </c>
      <c r="AA34">
        <f t="shared" si="17"/>
        <v>27</v>
      </c>
      <c r="AB34">
        <f t="shared" si="10"/>
        <v>15</v>
      </c>
      <c r="AC34">
        <f t="shared" si="11"/>
        <v>0.38100000000000001</v>
      </c>
      <c r="AD34">
        <v>31.6</v>
      </c>
    </row>
    <row r="35" spans="1:30" x14ac:dyDescent="0.5">
      <c r="A35">
        <f>A34+0.25</f>
        <v>13.75</v>
      </c>
      <c r="B35">
        <f t="shared" si="0"/>
        <v>7.75</v>
      </c>
      <c r="C35">
        <f t="shared" si="1"/>
        <v>0.19685</v>
      </c>
      <c r="D35">
        <v>32.799999999999997</v>
      </c>
      <c r="F35">
        <f>F34+0.25</f>
        <v>13.75</v>
      </c>
      <c r="G35">
        <f t="shared" si="2"/>
        <v>7.75</v>
      </c>
      <c r="H35">
        <f t="shared" si="3"/>
        <v>0.19685</v>
      </c>
      <c r="I35">
        <v>32.200000000000003</v>
      </c>
      <c r="K35">
        <f>K34+0.25</f>
        <v>13.75</v>
      </c>
      <c r="L35">
        <f t="shared" si="4"/>
        <v>7.75</v>
      </c>
      <c r="M35">
        <f t="shared" si="5"/>
        <v>0.19685</v>
      </c>
      <c r="N35">
        <v>32</v>
      </c>
      <c r="Q35">
        <f t="shared" si="15"/>
        <v>27.5</v>
      </c>
      <c r="R35">
        <f t="shared" si="6"/>
        <v>15.5</v>
      </c>
      <c r="S35">
        <f t="shared" si="7"/>
        <v>0.39369999999999999</v>
      </c>
      <c r="T35">
        <v>36.4</v>
      </c>
      <c r="V35">
        <f t="shared" si="16"/>
        <v>27.5</v>
      </c>
      <c r="W35">
        <f t="shared" si="8"/>
        <v>15.5</v>
      </c>
      <c r="X35">
        <f t="shared" si="9"/>
        <v>0.39369999999999999</v>
      </c>
      <c r="Y35">
        <v>32.6</v>
      </c>
      <c r="AA35">
        <f t="shared" si="17"/>
        <v>27.5</v>
      </c>
      <c r="AB35">
        <f t="shared" si="10"/>
        <v>15.5</v>
      </c>
      <c r="AC35">
        <f t="shared" si="11"/>
        <v>0.39369999999999999</v>
      </c>
      <c r="AD35">
        <v>32.4</v>
      </c>
    </row>
    <row r="36" spans="1:30" x14ac:dyDescent="0.5">
      <c r="A36">
        <f t="shared" si="12"/>
        <v>14</v>
      </c>
      <c r="B36">
        <f t="shared" si="0"/>
        <v>8</v>
      </c>
      <c r="C36">
        <f t="shared" si="1"/>
        <v>0.20319999999999999</v>
      </c>
      <c r="D36">
        <v>33.4</v>
      </c>
      <c r="F36">
        <f t="shared" si="13"/>
        <v>14</v>
      </c>
      <c r="G36">
        <f t="shared" si="2"/>
        <v>8</v>
      </c>
      <c r="H36">
        <f t="shared" si="3"/>
        <v>0.20319999999999999</v>
      </c>
      <c r="I36">
        <v>33</v>
      </c>
      <c r="K36">
        <f t="shared" si="14"/>
        <v>14</v>
      </c>
      <c r="L36">
        <f t="shared" si="4"/>
        <v>8</v>
      </c>
      <c r="M36">
        <f t="shared" si="5"/>
        <v>0.20319999999999999</v>
      </c>
      <c r="N36">
        <v>32.799999999999997</v>
      </c>
      <c r="Q36">
        <f t="shared" si="15"/>
        <v>28</v>
      </c>
      <c r="R36">
        <f t="shared" si="6"/>
        <v>16</v>
      </c>
      <c r="S36">
        <f t="shared" si="7"/>
        <v>0.40639999999999998</v>
      </c>
      <c r="T36">
        <v>37</v>
      </c>
      <c r="V36">
        <f t="shared" si="16"/>
        <v>28</v>
      </c>
      <c r="W36">
        <f t="shared" si="8"/>
        <v>16</v>
      </c>
      <c r="X36">
        <f t="shared" si="9"/>
        <v>0.40639999999999998</v>
      </c>
      <c r="Y36">
        <v>33.4</v>
      </c>
      <c r="AA36">
        <f t="shared" si="17"/>
        <v>28</v>
      </c>
      <c r="AB36">
        <f t="shared" si="10"/>
        <v>16</v>
      </c>
      <c r="AC36">
        <f t="shared" si="11"/>
        <v>0.40639999999999998</v>
      </c>
      <c r="AD36">
        <v>33</v>
      </c>
    </row>
    <row r="37" spans="1:30" x14ac:dyDescent="0.5">
      <c r="A37">
        <f t="shared" si="12"/>
        <v>14.25</v>
      </c>
      <c r="B37">
        <f t="shared" si="0"/>
        <v>8.25</v>
      </c>
      <c r="C37">
        <f t="shared" si="1"/>
        <v>0.20954999999999999</v>
      </c>
      <c r="D37">
        <v>34.200000000000003</v>
      </c>
      <c r="F37">
        <f t="shared" si="13"/>
        <v>14.25</v>
      </c>
      <c r="G37">
        <f t="shared" si="2"/>
        <v>8.25</v>
      </c>
      <c r="H37">
        <f t="shared" si="3"/>
        <v>0.20954999999999999</v>
      </c>
      <c r="I37">
        <v>33.6</v>
      </c>
      <c r="K37">
        <f t="shared" si="14"/>
        <v>14.25</v>
      </c>
      <c r="L37">
        <f t="shared" si="4"/>
        <v>8.25</v>
      </c>
      <c r="M37">
        <f t="shared" si="5"/>
        <v>0.20954999999999999</v>
      </c>
      <c r="N37">
        <v>33.4</v>
      </c>
      <c r="Q37">
        <f t="shared" si="15"/>
        <v>28.5</v>
      </c>
      <c r="R37">
        <f t="shared" si="6"/>
        <v>16.5</v>
      </c>
      <c r="S37">
        <f t="shared" si="7"/>
        <v>0.41909999999999997</v>
      </c>
      <c r="T37">
        <v>38</v>
      </c>
      <c r="V37">
        <f t="shared" si="16"/>
        <v>28.5</v>
      </c>
      <c r="W37">
        <f t="shared" si="8"/>
        <v>16.5</v>
      </c>
      <c r="X37">
        <f t="shared" si="9"/>
        <v>0.41909999999999997</v>
      </c>
      <c r="Y37">
        <v>34.200000000000003</v>
      </c>
      <c r="AA37">
        <f t="shared" si="17"/>
        <v>28.5</v>
      </c>
      <c r="AB37">
        <f t="shared" si="10"/>
        <v>16.5</v>
      </c>
      <c r="AC37">
        <f t="shared" si="11"/>
        <v>0.41909999999999997</v>
      </c>
      <c r="AD37">
        <v>33.799999999999997</v>
      </c>
    </row>
    <row r="38" spans="1:30" x14ac:dyDescent="0.5">
      <c r="A38">
        <f t="shared" si="12"/>
        <v>14.5</v>
      </c>
      <c r="B38">
        <f t="shared" si="0"/>
        <v>8.5</v>
      </c>
      <c r="C38">
        <f t="shared" si="1"/>
        <v>0.21589999999999998</v>
      </c>
      <c r="D38">
        <v>35</v>
      </c>
      <c r="F38">
        <f t="shared" si="13"/>
        <v>14.5</v>
      </c>
      <c r="G38">
        <f t="shared" si="2"/>
        <v>8.5</v>
      </c>
      <c r="H38">
        <f t="shared" si="3"/>
        <v>0.21589999999999998</v>
      </c>
      <c r="I38">
        <v>34.4</v>
      </c>
      <c r="K38">
        <f t="shared" si="14"/>
        <v>14.5</v>
      </c>
      <c r="L38">
        <f t="shared" si="4"/>
        <v>8.5</v>
      </c>
      <c r="M38">
        <f t="shared" si="5"/>
        <v>0.21589999999999998</v>
      </c>
      <c r="N38">
        <v>34</v>
      </c>
      <c r="Q38">
        <f t="shared" si="15"/>
        <v>29</v>
      </c>
      <c r="R38">
        <f t="shared" si="6"/>
        <v>17</v>
      </c>
      <c r="S38">
        <f t="shared" si="7"/>
        <v>0.43179999999999996</v>
      </c>
      <c r="T38">
        <v>38.4</v>
      </c>
      <c r="V38">
        <f t="shared" si="16"/>
        <v>29</v>
      </c>
      <c r="W38">
        <f t="shared" si="8"/>
        <v>17</v>
      </c>
      <c r="X38">
        <f t="shared" si="9"/>
        <v>0.43179999999999996</v>
      </c>
      <c r="Y38">
        <v>35</v>
      </c>
      <c r="AA38">
        <f t="shared" si="17"/>
        <v>29</v>
      </c>
      <c r="AB38">
        <f t="shared" si="10"/>
        <v>17</v>
      </c>
      <c r="AC38">
        <f t="shared" si="11"/>
        <v>0.43179999999999996</v>
      </c>
      <c r="AD38">
        <v>34.4</v>
      </c>
    </row>
    <row r="39" spans="1:30" x14ac:dyDescent="0.5">
      <c r="A39">
        <f t="shared" si="12"/>
        <v>14.75</v>
      </c>
      <c r="B39">
        <f t="shared" si="0"/>
        <v>8.75</v>
      </c>
      <c r="C39">
        <f t="shared" si="1"/>
        <v>0.22225</v>
      </c>
      <c r="D39">
        <v>35.799999999999997</v>
      </c>
      <c r="F39">
        <f t="shared" si="13"/>
        <v>14.75</v>
      </c>
      <c r="G39">
        <f t="shared" si="2"/>
        <v>8.75</v>
      </c>
      <c r="H39">
        <f t="shared" si="3"/>
        <v>0.22225</v>
      </c>
      <c r="I39">
        <v>35</v>
      </c>
      <c r="K39">
        <f t="shared" si="14"/>
        <v>14.75</v>
      </c>
      <c r="L39">
        <f t="shared" si="4"/>
        <v>8.75</v>
      </c>
      <c r="M39">
        <f t="shared" si="5"/>
        <v>0.22225</v>
      </c>
      <c r="N39">
        <v>34.6</v>
      </c>
      <c r="Q39">
        <f t="shared" si="15"/>
        <v>29.5</v>
      </c>
      <c r="R39">
        <f t="shared" si="6"/>
        <v>17.5</v>
      </c>
      <c r="S39">
        <f t="shared" si="7"/>
        <v>0.44450000000000001</v>
      </c>
      <c r="T39">
        <v>39.4</v>
      </c>
      <c r="V39">
        <f t="shared" si="16"/>
        <v>29.5</v>
      </c>
      <c r="W39">
        <f t="shared" si="8"/>
        <v>17.5</v>
      </c>
      <c r="X39">
        <f t="shared" si="9"/>
        <v>0.44450000000000001</v>
      </c>
      <c r="Y39">
        <v>35.6</v>
      </c>
      <c r="AA39">
        <f t="shared" si="17"/>
        <v>29.5</v>
      </c>
      <c r="AB39">
        <f t="shared" si="10"/>
        <v>17.5</v>
      </c>
      <c r="AC39">
        <f t="shared" si="11"/>
        <v>0.44450000000000001</v>
      </c>
      <c r="AD39">
        <v>35.4</v>
      </c>
    </row>
    <row r="40" spans="1:30" x14ac:dyDescent="0.5">
      <c r="A40">
        <f t="shared" si="12"/>
        <v>15</v>
      </c>
      <c r="B40">
        <f t="shared" si="0"/>
        <v>9</v>
      </c>
      <c r="C40">
        <f t="shared" si="1"/>
        <v>0.2286</v>
      </c>
      <c r="D40">
        <v>36.6</v>
      </c>
      <c r="F40">
        <f t="shared" si="13"/>
        <v>15</v>
      </c>
      <c r="G40">
        <f t="shared" si="2"/>
        <v>9</v>
      </c>
      <c r="H40">
        <f t="shared" si="3"/>
        <v>0.2286</v>
      </c>
      <c r="I40">
        <v>35.799999999999997</v>
      </c>
      <c r="K40">
        <f t="shared" si="14"/>
        <v>15</v>
      </c>
      <c r="L40">
        <f t="shared" si="4"/>
        <v>9</v>
      </c>
      <c r="M40">
        <f t="shared" si="5"/>
        <v>0.2286</v>
      </c>
      <c r="N40">
        <v>35.4</v>
      </c>
      <c r="Q40">
        <f t="shared" si="15"/>
        <v>30</v>
      </c>
      <c r="R40">
        <f t="shared" si="6"/>
        <v>18</v>
      </c>
      <c r="S40">
        <f t="shared" si="7"/>
        <v>0.4572</v>
      </c>
      <c r="T40">
        <v>39.799999999999997</v>
      </c>
      <c r="V40">
        <f t="shared" si="16"/>
        <v>30</v>
      </c>
      <c r="W40">
        <f t="shared" si="8"/>
        <v>18</v>
      </c>
      <c r="X40">
        <f t="shared" si="9"/>
        <v>0.4572</v>
      </c>
      <c r="Y40">
        <v>36.200000000000003</v>
      </c>
      <c r="AA40">
        <f t="shared" si="17"/>
        <v>30</v>
      </c>
      <c r="AB40">
        <f t="shared" si="10"/>
        <v>18</v>
      </c>
      <c r="AC40">
        <f t="shared" si="11"/>
        <v>0.4572</v>
      </c>
      <c r="AD40">
        <v>36</v>
      </c>
    </row>
    <row r="41" spans="1:30" x14ac:dyDescent="0.5">
      <c r="A41">
        <f t="shared" si="12"/>
        <v>15.25</v>
      </c>
      <c r="B41">
        <f t="shared" si="0"/>
        <v>9.25</v>
      </c>
      <c r="C41">
        <f t="shared" si="1"/>
        <v>0.23494999999999999</v>
      </c>
      <c r="D41">
        <v>37</v>
      </c>
      <c r="F41">
        <f t="shared" si="13"/>
        <v>15.25</v>
      </c>
      <c r="G41">
        <f t="shared" si="2"/>
        <v>9.25</v>
      </c>
      <c r="H41">
        <f t="shared" si="3"/>
        <v>0.23494999999999999</v>
      </c>
      <c r="I41">
        <v>36.6</v>
      </c>
      <c r="K41">
        <f t="shared" si="14"/>
        <v>15.25</v>
      </c>
      <c r="L41">
        <f t="shared" si="4"/>
        <v>9.25</v>
      </c>
      <c r="M41">
        <f t="shared" si="5"/>
        <v>0.23494999999999999</v>
      </c>
      <c r="N41">
        <v>36</v>
      </c>
      <c r="Q41">
        <f t="shared" si="15"/>
        <v>30.5</v>
      </c>
      <c r="R41">
        <f t="shared" si="6"/>
        <v>18.5</v>
      </c>
      <c r="S41">
        <f t="shared" si="7"/>
        <v>0.46989999999999998</v>
      </c>
      <c r="T41">
        <v>40.6</v>
      </c>
      <c r="V41">
        <f t="shared" si="16"/>
        <v>30.5</v>
      </c>
      <c r="W41">
        <f t="shared" si="8"/>
        <v>18.5</v>
      </c>
      <c r="X41">
        <f t="shared" si="9"/>
        <v>0.46989999999999998</v>
      </c>
      <c r="Y41">
        <v>37</v>
      </c>
      <c r="AA41">
        <f t="shared" si="17"/>
        <v>30.5</v>
      </c>
      <c r="AB41">
        <f t="shared" si="10"/>
        <v>18.5</v>
      </c>
      <c r="AC41">
        <f t="shared" si="11"/>
        <v>0.46989999999999998</v>
      </c>
      <c r="AD41">
        <v>36.799999999999997</v>
      </c>
    </row>
    <row r="42" spans="1:30" x14ac:dyDescent="0.5">
      <c r="A42">
        <f t="shared" si="12"/>
        <v>15.5</v>
      </c>
      <c r="B42">
        <f t="shared" si="0"/>
        <v>9.5</v>
      </c>
      <c r="C42">
        <f t="shared" si="1"/>
        <v>0.24129999999999999</v>
      </c>
      <c r="D42">
        <v>38.200000000000003</v>
      </c>
      <c r="F42">
        <f t="shared" si="13"/>
        <v>15.5</v>
      </c>
      <c r="G42">
        <f t="shared" si="2"/>
        <v>9.5</v>
      </c>
      <c r="H42">
        <f t="shared" si="3"/>
        <v>0.24129999999999999</v>
      </c>
      <c r="I42">
        <v>37.6</v>
      </c>
      <c r="K42">
        <f t="shared" si="14"/>
        <v>15.5</v>
      </c>
      <c r="L42">
        <f t="shared" si="4"/>
        <v>9.5</v>
      </c>
      <c r="M42">
        <f t="shared" si="5"/>
        <v>0.24129999999999999</v>
      </c>
      <c r="N42">
        <v>37</v>
      </c>
      <c r="Q42">
        <f t="shared" si="15"/>
        <v>31</v>
      </c>
      <c r="R42">
        <f t="shared" si="6"/>
        <v>19</v>
      </c>
      <c r="S42">
        <f t="shared" si="7"/>
        <v>0.48259999999999997</v>
      </c>
      <c r="T42">
        <v>41.4</v>
      </c>
      <c r="V42">
        <f t="shared" si="16"/>
        <v>31</v>
      </c>
      <c r="W42">
        <f t="shared" si="8"/>
        <v>19</v>
      </c>
      <c r="X42">
        <f t="shared" si="9"/>
        <v>0.48259999999999997</v>
      </c>
      <c r="Y42">
        <v>37.799999999999997</v>
      </c>
      <c r="AA42">
        <f t="shared" si="17"/>
        <v>31</v>
      </c>
      <c r="AB42">
        <f t="shared" si="10"/>
        <v>19</v>
      </c>
      <c r="AC42">
        <f t="shared" si="11"/>
        <v>0.48259999999999997</v>
      </c>
      <c r="AD42">
        <v>37.4</v>
      </c>
    </row>
    <row r="43" spans="1:30" x14ac:dyDescent="0.5">
      <c r="A43">
        <f t="shared" si="12"/>
        <v>15.75</v>
      </c>
      <c r="B43">
        <f t="shared" si="0"/>
        <v>9.75</v>
      </c>
      <c r="C43">
        <f t="shared" si="1"/>
        <v>0.24764999999999998</v>
      </c>
      <c r="D43">
        <v>39</v>
      </c>
      <c r="F43">
        <f t="shared" si="13"/>
        <v>15.75</v>
      </c>
      <c r="G43">
        <f t="shared" si="2"/>
        <v>9.75</v>
      </c>
      <c r="H43">
        <f t="shared" si="3"/>
        <v>0.24764999999999998</v>
      </c>
      <c r="I43">
        <v>38.4</v>
      </c>
      <c r="K43">
        <f t="shared" si="14"/>
        <v>15.75</v>
      </c>
      <c r="L43">
        <f t="shared" si="4"/>
        <v>9.75</v>
      </c>
      <c r="M43">
        <f t="shared" si="5"/>
        <v>0.24764999999999998</v>
      </c>
      <c r="N43">
        <v>37.4</v>
      </c>
      <c r="Q43">
        <f t="shared" si="15"/>
        <v>31.5</v>
      </c>
      <c r="R43">
        <f t="shared" si="6"/>
        <v>19.5</v>
      </c>
      <c r="S43">
        <f t="shared" si="7"/>
        <v>0.49529999999999996</v>
      </c>
      <c r="T43">
        <v>42</v>
      </c>
      <c r="V43">
        <f t="shared" si="16"/>
        <v>31.5</v>
      </c>
      <c r="W43">
        <f t="shared" si="8"/>
        <v>19.5</v>
      </c>
      <c r="X43">
        <f t="shared" si="9"/>
        <v>0.49529999999999996</v>
      </c>
      <c r="Y43">
        <v>38.6</v>
      </c>
      <c r="AA43">
        <f t="shared" si="17"/>
        <v>31.5</v>
      </c>
      <c r="AB43">
        <f t="shared" si="10"/>
        <v>19.5</v>
      </c>
      <c r="AC43">
        <f t="shared" si="11"/>
        <v>0.49529999999999996</v>
      </c>
      <c r="AD43">
        <v>38</v>
      </c>
    </row>
    <row r="44" spans="1:30" x14ac:dyDescent="0.5">
      <c r="A44">
        <f t="shared" si="12"/>
        <v>16</v>
      </c>
      <c r="B44">
        <f t="shared" si="0"/>
        <v>10</v>
      </c>
      <c r="C44">
        <f t="shared" si="1"/>
        <v>0.254</v>
      </c>
      <c r="D44">
        <v>39.6</v>
      </c>
      <c r="F44">
        <f t="shared" si="13"/>
        <v>16</v>
      </c>
      <c r="G44">
        <f t="shared" si="2"/>
        <v>10</v>
      </c>
      <c r="H44">
        <f t="shared" si="3"/>
        <v>0.254</v>
      </c>
      <c r="I44">
        <v>39</v>
      </c>
      <c r="K44">
        <f t="shared" si="14"/>
        <v>16</v>
      </c>
      <c r="L44">
        <f t="shared" si="4"/>
        <v>10</v>
      </c>
      <c r="M44">
        <f t="shared" si="5"/>
        <v>0.254</v>
      </c>
      <c r="N44">
        <v>38.4</v>
      </c>
      <c r="Q44">
        <f t="shared" si="15"/>
        <v>32</v>
      </c>
      <c r="R44">
        <f t="shared" si="6"/>
        <v>20</v>
      </c>
      <c r="S44">
        <f t="shared" si="7"/>
        <v>0.50800000000000001</v>
      </c>
      <c r="T44">
        <v>42.6</v>
      </c>
      <c r="V44">
        <f t="shared" si="16"/>
        <v>32</v>
      </c>
      <c r="W44">
        <f t="shared" si="8"/>
        <v>20</v>
      </c>
      <c r="X44">
        <f t="shared" si="9"/>
        <v>0.50800000000000001</v>
      </c>
      <c r="Y44">
        <v>39.4</v>
      </c>
      <c r="AA44">
        <f t="shared" si="17"/>
        <v>32</v>
      </c>
      <c r="AB44">
        <f t="shared" si="10"/>
        <v>20</v>
      </c>
      <c r="AC44">
        <f t="shared" si="11"/>
        <v>0.50800000000000001</v>
      </c>
      <c r="AD44">
        <v>39</v>
      </c>
    </row>
    <row r="45" spans="1:30" x14ac:dyDescent="0.5">
      <c r="A45">
        <f t="shared" si="12"/>
        <v>16.25</v>
      </c>
      <c r="B45">
        <f t="shared" si="0"/>
        <v>10.25</v>
      </c>
      <c r="C45">
        <f t="shared" si="1"/>
        <v>0.26034999999999997</v>
      </c>
      <c r="D45">
        <v>40.4</v>
      </c>
      <c r="F45">
        <f t="shared" si="13"/>
        <v>16.25</v>
      </c>
      <c r="G45">
        <f t="shared" si="2"/>
        <v>10.25</v>
      </c>
      <c r="H45">
        <f t="shared" si="3"/>
        <v>0.26034999999999997</v>
      </c>
      <c r="I45">
        <v>40</v>
      </c>
      <c r="K45">
        <f t="shared" si="14"/>
        <v>16.25</v>
      </c>
      <c r="L45">
        <f t="shared" si="4"/>
        <v>10.25</v>
      </c>
      <c r="M45">
        <f t="shared" si="5"/>
        <v>0.26034999999999997</v>
      </c>
      <c r="N45">
        <v>39.4</v>
      </c>
      <c r="Q45">
        <f t="shared" si="15"/>
        <v>32.5</v>
      </c>
      <c r="R45">
        <f t="shared" si="6"/>
        <v>20.5</v>
      </c>
      <c r="S45">
        <f t="shared" si="7"/>
        <v>0.52069999999999994</v>
      </c>
      <c r="T45">
        <v>43.4</v>
      </c>
      <c r="V45">
        <f t="shared" si="16"/>
        <v>32.5</v>
      </c>
      <c r="W45">
        <f t="shared" si="8"/>
        <v>20.5</v>
      </c>
      <c r="X45">
        <f t="shared" si="9"/>
        <v>0.52069999999999994</v>
      </c>
      <c r="Y45">
        <v>40.200000000000003</v>
      </c>
      <c r="AA45">
        <f t="shared" si="17"/>
        <v>32.5</v>
      </c>
      <c r="AB45">
        <f t="shared" si="10"/>
        <v>20.5</v>
      </c>
      <c r="AC45">
        <f t="shared" si="11"/>
        <v>0.52069999999999994</v>
      </c>
      <c r="AD45">
        <v>39.6</v>
      </c>
    </row>
    <row r="46" spans="1:30" x14ac:dyDescent="0.5">
      <c r="A46">
        <f>A45+0.25</f>
        <v>16.5</v>
      </c>
      <c r="B46">
        <f t="shared" si="0"/>
        <v>10.5</v>
      </c>
      <c r="C46">
        <f t="shared" si="1"/>
        <v>0.26669999999999999</v>
      </c>
      <c r="D46">
        <v>41.4</v>
      </c>
      <c r="F46">
        <f>F45+0.25</f>
        <v>16.5</v>
      </c>
      <c r="G46">
        <f t="shared" si="2"/>
        <v>10.5</v>
      </c>
      <c r="H46">
        <f t="shared" si="3"/>
        <v>0.26669999999999999</v>
      </c>
      <c r="I46">
        <v>40.799999999999997</v>
      </c>
      <c r="K46">
        <f>K45+0.25</f>
        <v>16.5</v>
      </c>
      <c r="L46">
        <f t="shared" si="4"/>
        <v>10.5</v>
      </c>
      <c r="M46">
        <f t="shared" si="5"/>
        <v>0.26669999999999999</v>
      </c>
      <c r="N46">
        <v>40.200000000000003</v>
      </c>
      <c r="Q46">
        <f t="shared" si="15"/>
        <v>33</v>
      </c>
      <c r="R46">
        <f t="shared" si="6"/>
        <v>21</v>
      </c>
      <c r="S46">
        <f t="shared" si="7"/>
        <v>0.53339999999999999</v>
      </c>
      <c r="T46">
        <v>44</v>
      </c>
      <c r="V46">
        <f t="shared" si="16"/>
        <v>33</v>
      </c>
      <c r="W46">
        <f t="shared" si="8"/>
        <v>21</v>
      </c>
      <c r="X46">
        <f t="shared" si="9"/>
        <v>0.53339999999999999</v>
      </c>
      <c r="Y46">
        <v>41</v>
      </c>
      <c r="AA46">
        <f t="shared" si="17"/>
        <v>33</v>
      </c>
      <c r="AB46">
        <f t="shared" si="10"/>
        <v>21</v>
      </c>
      <c r="AC46">
        <f t="shared" si="11"/>
        <v>0.53339999999999999</v>
      </c>
      <c r="AD46">
        <v>40.6</v>
      </c>
    </row>
    <row r="47" spans="1:30" x14ac:dyDescent="0.5">
      <c r="A47">
        <f t="shared" ref="A47:A51" si="18">A46+0.25</f>
        <v>16.75</v>
      </c>
      <c r="B47">
        <f t="shared" si="0"/>
        <v>10.75</v>
      </c>
      <c r="C47">
        <f t="shared" si="1"/>
        <v>0.27305000000000001</v>
      </c>
      <c r="D47">
        <v>42</v>
      </c>
      <c r="F47">
        <f t="shared" ref="F47:F51" si="19">F46+0.25</f>
        <v>16.75</v>
      </c>
      <c r="G47">
        <f t="shared" si="2"/>
        <v>10.75</v>
      </c>
      <c r="H47">
        <f t="shared" si="3"/>
        <v>0.27305000000000001</v>
      </c>
      <c r="I47">
        <v>41.4</v>
      </c>
      <c r="K47">
        <f t="shared" ref="K47:K51" si="20">K46+0.25</f>
        <v>16.75</v>
      </c>
      <c r="L47">
        <f t="shared" si="4"/>
        <v>10.75</v>
      </c>
      <c r="M47">
        <f t="shared" si="5"/>
        <v>0.27305000000000001</v>
      </c>
      <c r="N47">
        <v>41</v>
      </c>
      <c r="Q47">
        <f t="shared" si="15"/>
        <v>33.5</v>
      </c>
      <c r="R47">
        <f t="shared" si="6"/>
        <v>21.5</v>
      </c>
      <c r="S47">
        <f t="shared" si="7"/>
        <v>0.54610000000000003</v>
      </c>
      <c r="T47">
        <v>45</v>
      </c>
      <c r="V47">
        <f t="shared" si="16"/>
        <v>33.5</v>
      </c>
      <c r="W47">
        <f t="shared" si="8"/>
        <v>21.5</v>
      </c>
      <c r="X47">
        <f t="shared" si="9"/>
        <v>0.54610000000000003</v>
      </c>
      <c r="Y47">
        <v>41.8</v>
      </c>
      <c r="AA47">
        <f t="shared" si="17"/>
        <v>33.5</v>
      </c>
      <c r="AB47">
        <f t="shared" si="10"/>
        <v>21.5</v>
      </c>
      <c r="AC47">
        <f t="shared" si="11"/>
        <v>0.54610000000000003</v>
      </c>
      <c r="AD47">
        <v>41.4</v>
      </c>
    </row>
    <row r="48" spans="1:30" x14ac:dyDescent="0.5">
      <c r="A48">
        <f t="shared" si="18"/>
        <v>17</v>
      </c>
      <c r="B48">
        <f t="shared" si="0"/>
        <v>11</v>
      </c>
      <c r="C48">
        <f t="shared" si="1"/>
        <v>0.27939999999999998</v>
      </c>
      <c r="D48">
        <v>43</v>
      </c>
      <c r="F48">
        <f t="shared" si="19"/>
        <v>17</v>
      </c>
      <c r="G48">
        <f t="shared" si="2"/>
        <v>11</v>
      </c>
      <c r="H48">
        <f t="shared" si="3"/>
        <v>0.27939999999999998</v>
      </c>
      <c r="I48">
        <v>42.6</v>
      </c>
      <c r="K48">
        <f t="shared" si="20"/>
        <v>17</v>
      </c>
      <c r="L48">
        <f t="shared" si="4"/>
        <v>11</v>
      </c>
      <c r="M48">
        <f t="shared" si="5"/>
        <v>0.27939999999999998</v>
      </c>
      <c r="N48">
        <v>42.2</v>
      </c>
      <c r="Q48">
        <f t="shared" si="15"/>
        <v>34</v>
      </c>
      <c r="R48">
        <f t="shared" si="6"/>
        <v>22</v>
      </c>
      <c r="S48">
        <f t="shared" si="7"/>
        <v>0.55879999999999996</v>
      </c>
      <c r="T48">
        <v>45.4</v>
      </c>
      <c r="V48">
        <f t="shared" si="16"/>
        <v>34</v>
      </c>
      <c r="W48">
        <f t="shared" si="8"/>
        <v>22</v>
      </c>
      <c r="X48">
        <f t="shared" si="9"/>
        <v>0.55879999999999996</v>
      </c>
      <c r="Y48">
        <v>42.6</v>
      </c>
      <c r="AA48">
        <f t="shared" si="17"/>
        <v>34</v>
      </c>
      <c r="AB48">
        <f t="shared" si="10"/>
        <v>22</v>
      </c>
      <c r="AC48">
        <f t="shared" si="11"/>
        <v>0.55879999999999996</v>
      </c>
      <c r="AD48">
        <v>42.4</v>
      </c>
    </row>
    <row r="49" spans="1:30" x14ac:dyDescent="0.5">
      <c r="A49">
        <f t="shared" si="18"/>
        <v>17.25</v>
      </c>
      <c r="B49">
        <f t="shared" si="0"/>
        <v>11.25</v>
      </c>
      <c r="C49">
        <f t="shared" si="1"/>
        <v>0.28575</v>
      </c>
      <c r="D49">
        <v>43.8</v>
      </c>
      <c r="F49">
        <f t="shared" si="19"/>
        <v>17.25</v>
      </c>
      <c r="G49">
        <f t="shared" si="2"/>
        <v>11.25</v>
      </c>
      <c r="H49">
        <f t="shared" si="3"/>
        <v>0.28575</v>
      </c>
      <c r="I49">
        <v>43.4</v>
      </c>
      <c r="K49">
        <f t="shared" si="20"/>
        <v>17.25</v>
      </c>
      <c r="L49">
        <f t="shared" si="4"/>
        <v>11.25</v>
      </c>
      <c r="M49">
        <f t="shared" si="5"/>
        <v>0.28575</v>
      </c>
      <c r="N49">
        <v>42.8</v>
      </c>
      <c r="Q49">
        <f t="shared" si="15"/>
        <v>34.5</v>
      </c>
      <c r="R49">
        <f t="shared" si="6"/>
        <v>22.5</v>
      </c>
      <c r="S49">
        <f t="shared" si="7"/>
        <v>0.57150000000000001</v>
      </c>
      <c r="T49">
        <v>46</v>
      </c>
      <c r="V49">
        <f t="shared" si="16"/>
        <v>34.5</v>
      </c>
      <c r="W49">
        <f t="shared" si="8"/>
        <v>22.5</v>
      </c>
      <c r="X49">
        <f t="shared" si="9"/>
        <v>0.57150000000000001</v>
      </c>
      <c r="Y49">
        <v>43.4</v>
      </c>
      <c r="AA49">
        <f t="shared" si="17"/>
        <v>34.5</v>
      </c>
      <c r="AB49">
        <f t="shared" si="10"/>
        <v>22.5</v>
      </c>
      <c r="AC49">
        <f t="shared" si="11"/>
        <v>0.57150000000000001</v>
      </c>
      <c r="AD49">
        <v>43.6</v>
      </c>
    </row>
    <row r="50" spans="1:30" x14ac:dyDescent="0.5">
      <c r="A50">
        <f t="shared" si="18"/>
        <v>17.5</v>
      </c>
      <c r="B50">
        <f t="shared" si="0"/>
        <v>11.5</v>
      </c>
      <c r="C50">
        <f t="shared" si="1"/>
        <v>0.29209999999999997</v>
      </c>
      <c r="D50">
        <v>44.6</v>
      </c>
      <c r="F50">
        <f t="shared" si="19"/>
        <v>17.5</v>
      </c>
      <c r="G50">
        <f t="shared" si="2"/>
        <v>11.5</v>
      </c>
      <c r="H50">
        <f t="shared" si="3"/>
        <v>0.29209999999999997</v>
      </c>
      <c r="I50">
        <v>44.2</v>
      </c>
      <c r="K50">
        <f t="shared" si="20"/>
        <v>17.5</v>
      </c>
      <c r="L50">
        <f t="shared" si="4"/>
        <v>11.5</v>
      </c>
      <c r="M50">
        <f t="shared" si="5"/>
        <v>0.29209999999999997</v>
      </c>
      <c r="N50">
        <v>43.6</v>
      </c>
      <c r="Q50">
        <f t="shared" si="15"/>
        <v>35</v>
      </c>
      <c r="R50">
        <f t="shared" si="6"/>
        <v>23</v>
      </c>
      <c r="S50">
        <f t="shared" si="7"/>
        <v>0.58419999999999994</v>
      </c>
      <c r="T50">
        <v>47</v>
      </c>
      <c r="V50">
        <f t="shared" si="16"/>
        <v>35</v>
      </c>
      <c r="W50">
        <f t="shared" si="8"/>
        <v>23</v>
      </c>
      <c r="X50">
        <f t="shared" si="9"/>
        <v>0.58419999999999994</v>
      </c>
      <c r="Y50">
        <v>44.6</v>
      </c>
      <c r="AA50">
        <f t="shared" si="17"/>
        <v>35</v>
      </c>
      <c r="AB50">
        <f t="shared" si="10"/>
        <v>23</v>
      </c>
      <c r="AC50">
        <f t="shared" si="11"/>
        <v>0.58419999999999994</v>
      </c>
      <c r="AD50">
        <v>44.4</v>
      </c>
    </row>
    <row r="51" spans="1:30" x14ac:dyDescent="0.5">
      <c r="A51">
        <f t="shared" si="18"/>
        <v>17.75</v>
      </c>
      <c r="B51">
        <f t="shared" si="0"/>
        <v>11.75</v>
      </c>
      <c r="C51">
        <f t="shared" si="1"/>
        <v>0.29844999999999999</v>
      </c>
      <c r="D51">
        <v>45.6</v>
      </c>
      <c r="F51">
        <f t="shared" si="19"/>
        <v>17.75</v>
      </c>
      <c r="G51">
        <f t="shared" si="2"/>
        <v>11.75</v>
      </c>
      <c r="H51">
        <f t="shared" si="3"/>
        <v>0.29844999999999999</v>
      </c>
      <c r="I51">
        <v>45</v>
      </c>
      <c r="K51">
        <f t="shared" si="20"/>
        <v>17.75</v>
      </c>
      <c r="L51">
        <f t="shared" si="4"/>
        <v>11.75</v>
      </c>
      <c r="M51">
        <f t="shared" si="5"/>
        <v>0.29844999999999999</v>
      </c>
      <c r="N51">
        <v>44.4</v>
      </c>
      <c r="Q51">
        <f t="shared" si="15"/>
        <v>35.5</v>
      </c>
      <c r="R51">
        <f t="shared" si="6"/>
        <v>23.5</v>
      </c>
      <c r="S51">
        <f t="shared" si="7"/>
        <v>0.59689999999999999</v>
      </c>
      <c r="T51">
        <v>47.6</v>
      </c>
      <c r="V51">
        <f t="shared" si="16"/>
        <v>35.5</v>
      </c>
      <c r="W51">
        <f t="shared" si="8"/>
        <v>23.5</v>
      </c>
      <c r="X51">
        <f t="shared" si="9"/>
        <v>0.59689999999999999</v>
      </c>
      <c r="Y51">
        <v>46.6</v>
      </c>
      <c r="AA51">
        <f t="shared" si="17"/>
        <v>35.5</v>
      </c>
      <c r="AB51">
        <f t="shared" si="10"/>
        <v>23.5</v>
      </c>
      <c r="AC51">
        <f t="shared" si="11"/>
        <v>0.59689999999999999</v>
      </c>
      <c r="AD51">
        <v>45.2</v>
      </c>
    </row>
    <row r="52" spans="1:30" x14ac:dyDescent="0.5">
      <c r="A52">
        <f>A51+0.25</f>
        <v>18</v>
      </c>
      <c r="B52">
        <f t="shared" si="0"/>
        <v>12</v>
      </c>
      <c r="C52">
        <f t="shared" si="1"/>
        <v>0.30479999999999996</v>
      </c>
      <c r="D52">
        <v>46.6</v>
      </c>
      <c r="F52">
        <f>F51+0.25</f>
        <v>18</v>
      </c>
      <c r="G52">
        <f t="shared" si="2"/>
        <v>12</v>
      </c>
      <c r="H52">
        <f t="shared" si="3"/>
        <v>0.30479999999999996</v>
      </c>
      <c r="I52">
        <v>46.2</v>
      </c>
      <c r="K52">
        <f>K51+0.25</f>
        <v>18</v>
      </c>
      <c r="L52">
        <f t="shared" si="4"/>
        <v>12</v>
      </c>
      <c r="M52">
        <f t="shared" si="5"/>
        <v>0.30479999999999996</v>
      </c>
      <c r="N52">
        <v>45.8</v>
      </c>
      <c r="Q52">
        <f t="shared" si="15"/>
        <v>36</v>
      </c>
      <c r="R52">
        <f t="shared" si="6"/>
        <v>24</v>
      </c>
      <c r="S52">
        <f t="shared" si="7"/>
        <v>0.60959999999999992</v>
      </c>
      <c r="T52">
        <v>48.2</v>
      </c>
      <c r="V52">
        <f t="shared" si="16"/>
        <v>36</v>
      </c>
      <c r="W52">
        <f t="shared" si="8"/>
        <v>24</v>
      </c>
      <c r="X52">
        <f t="shared" si="9"/>
        <v>0.60959999999999992</v>
      </c>
      <c r="Y52">
        <v>46.4</v>
      </c>
      <c r="AA52">
        <f t="shared" si="17"/>
        <v>36</v>
      </c>
      <c r="AB52">
        <f t="shared" si="10"/>
        <v>24</v>
      </c>
      <c r="AC52">
        <f t="shared" si="11"/>
        <v>0.60959999999999992</v>
      </c>
      <c r="AD52">
        <v>46</v>
      </c>
    </row>
  </sheetData>
  <mergeCells count="2">
    <mergeCell ref="A1:B1"/>
    <mergeCell ref="Q1:R1"/>
  </mergeCells>
  <pageMargins left="0.7" right="0.7" top="0.75" bottom="0.75" header="0.3" footer="0.3"/>
  <pageSetup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20EB0-77D8-3349-941C-EA8C3582A73A}">
  <dimension ref="A1:AE52"/>
  <sheetViews>
    <sheetView zoomScale="84" workbookViewId="0">
      <selection activeCell="J9" sqref="J9"/>
    </sheetView>
  </sheetViews>
  <sheetFormatPr defaultColWidth="11" defaultRowHeight="15.75" x14ac:dyDescent="0.5"/>
  <sheetData>
    <row r="1" spans="1:31" x14ac:dyDescent="0.5">
      <c r="A1" s="2" t="s">
        <v>15</v>
      </c>
      <c r="B1" s="2"/>
      <c r="C1" s="1"/>
      <c r="D1" s="1"/>
      <c r="R1" s="2" t="s">
        <v>16</v>
      </c>
      <c r="S1" s="2"/>
    </row>
    <row r="2" spans="1:31" x14ac:dyDescent="0.5">
      <c r="A2" s="1"/>
      <c r="B2" s="1"/>
      <c r="C2" s="1"/>
      <c r="D2" s="1"/>
    </row>
    <row r="3" spans="1:31" x14ac:dyDescent="0.5">
      <c r="A3" t="s">
        <v>2</v>
      </c>
      <c r="B3" t="s">
        <v>3</v>
      </c>
      <c r="C3" t="s">
        <v>4</v>
      </c>
      <c r="D3" t="s">
        <v>5</v>
      </c>
      <c r="F3" t="s">
        <v>2</v>
      </c>
      <c r="G3" t="s">
        <v>3</v>
      </c>
      <c r="H3" t="s">
        <v>4</v>
      </c>
      <c r="I3" t="s">
        <v>5</v>
      </c>
      <c r="K3" t="s">
        <v>2</v>
      </c>
      <c r="L3" t="s">
        <v>3</v>
      </c>
      <c r="M3" t="s">
        <v>4</v>
      </c>
      <c r="N3" t="s">
        <v>5</v>
      </c>
      <c r="R3" t="s">
        <v>2</v>
      </c>
      <c r="S3" t="s">
        <v>8</v>
      </c>
      <c r="T3" t="s">
        <v>4</v>
      </c>
      <c r="U3" t="s">
        <v>5</v>
      </c>
      <c r="W3" t="s">
        <v>2</v>
      </c>
      <c r="X3" t="s">
        <v>8</v>
      </c>
      <c r="Y3" t="s">
        <v>4</v>
      </c>
      <c r="Z3" t="s">
        <v>5</v>
      </c>
      <c r="AB3" t="s">
        <v>2</v>
      </c>
      <c r="AC3" t="s">
        <v>8</v>
      </c>
      <c r="AD3" t="s">
        <v>4</v>
      </c>
      <c r="AE3" t="s">
        <v>5</v>
      </c>
    </row>
    <row r="4" spans="1:31" x14ac:dyDescent="0.5">
      <c r="A4">
        <v>6</v>
      </c>
      <c r="B4">
        <f>A4-6</f>
        <v>0</v>
      </c>
      <c r="C4">
        <f>B4*0.0254</f>
        <v>0</v>
      </c>
      <c r="D4">
        <v>0</v>
      </c>
      <c r="F4">
        <v>6</v>
      </c>
      <c r="G4">
        <f>F4-6</f>
        <v>0</v>
      </c>
      <c r="H4">
        <f>G4*0.0254</f>
        <v>0</v>
      </c>
      <c r="I4">
        <v>0</v>
      </c>
      <c r="K4">
        <v>6</v>
      </c>
      <c r="L4">
        <f>K4-6</f>
        <v>0</v>
      </c>
      <c r="M4">
        <f>L4*0.0254</f>
        <v>0</v>
      </c>
      <c r="N4">
        <v>0</v>
      </c>
      <c r="R4">
        <v>12</v>
      </c>
      <c r="S4">
        <f>R4-12</f>
        <v>0</v>
      </c>
      <c r="T4">
        <f>S4*0.0254</f>
        <v>0</v>
      </c>
      <c r="U4">
        <v>0</v>
      </c>
      <c r="W4">
        <v>12</v>
      </c>
      <c r="X4">
        <f>W4-12</f>
        <v>0</v>
      </c>
      <c r="Y4">
        <f>X4*0.0254</f>
        <v>0</v>
      </c>
      <c r="Z4">
        <v>0</v>
      </c>
      <c r="AB4">
        <v>12</v>
      </c>
      <c r="AC4">
        <f>AB4-12</f>
        <v>0</v>
      </c>
      <c r="AD4">
        <f>AC4*0.0254</f>
        <v>0</v>
      </c>
      <c r="AE4">
        <v>0</v>
      </c>
    </row>
    <row r="5" spans="1:31" x14ac:dyDescent="0.5">
      <c r="A5">
        <f>A4+0.25</f>
        <v>6.25</v>
      </c>
      <c r="B5">
        <f t="shared" ref="B5:B52" si="0">A5-6</f>
        <v>0.25</v>
      </c>
      <c r="C5">
        <f t="shared" ref="C5:C52" si="1">B5*0.0254</f>
        <v>6.3499999999999997E-3</v>
      </c>
      <c r="D5">
        <v>1</v>
      </c>
      <c r="F5">
        <f>F4+0.25</f>
        <v>6.25</v>
      </c>
      <c r="G5">
        <f t="shared" ref="G5:G52" si="2">F5-6</f>
        <v>0.25</v>
      </c>
      <c r="H5">
        <f t="shared" ref="H5:H52" si="3">G5*0.0254</f>
        <v>6.3499999999999997E-3</v>
      </c>
      <c r="I5">
        <v>0.6</v>
      </c>
      <c r="K5">
        <f>K4+0.25</f>
        <v>6.25</v>
      </c>
      <c r="L5">
        <f t="shared" ref="L5:L52" si="4">K5-6</f>
        <v>0.25</v>
      </c>
      <c r="M5">
        <f t="shared" ref="M5:M52" si="5">L5*0.0254</f>
        <v>6.3499999999999997E-3</v>
      </c>
      <c r="N5">
        <v>0.6</v>
      </c>
      <c r="R5">
        <f>R4+0.5</f>
        <v>12.5</v>
      </c>
      <c r="S5">
        <f t="shared" ref="S5:S52" si="6">R5-12</f>
        <v>0.5</v>
      </c>
      <c r="T5">
        <f t="shared" ref="T5:T52" si="7">S5*0.0254</f>
        <v>1.2699999999999999E-2</v>
      </c>
      <c r="U5">
        <v>0.8</v>
      </c>
      <c r="W5">
        <f>W4+0.5</f>
        <v>12.5</v>
      </c>
      <c r="X5">
        <f t="shared" ref="X5:X52" si="8">W5-12</f>
        <v>0.5</v>
      </c>
      <c r="Y5">
        <f t="shared" ref="Y5:Y52" si="9">X5*0.0254</f>
        <v>1.2699999999999999E-2</v>
      </c>
      <c r="Z5">
        <v>0.8</v>
      </c>
      <c r="AB5">
        <f>AB4+0.5</f>
        <v>12.5</v>
      </c>
      <c r="AC5">
        <f t="shared" ref="AC5:AC52" si="10">AB5-12</f>
        <v>0.5</v>
      </c>
      <c r="AD5">
        <f t="shared" ref="AD5:AD52" si="11">AC5*0.0254</f>
        <v>1.2699999999999999E-2</v>
      </c>
      <c r="AE5">
        <v>1</v>
      </c>
    </row>
    <row r="6" spans="1:31" x14ac:dyDescent="0.5">
      <c r="A6">
        <f t="shared" ref="A6:A45" si="12">A5+0.25</f>
        <v>6.5</v>
      </c>
      <c r="B6">
        <f t="shared" si="0"/>
        <v>0.5</v>
      </c>
      <c r="C6">
        <f t="shared" si="1"/>
        <v>1.2699999999999999E-2</v>
      </c>
      <c r="D6">
        <v>1.8</v>
      </c>
      <c r="F6">
        <f t="shared" ref="F6:F45" si="13">F5+0.25</f>
        <v>6.5</v>
      </c>
      <c r="G6">
        <f t="shared" si="2"/>
        <v>0.5</v>
      </c>
      <c r="H6">
        <f t="shared" si="3"/>
        <v>1.2699999999999999E-2</v>
      </c>
      <c r="I6">
        <v>1.2</v>
      </c>
      <c r="K6">
        <f t="shared" ref="K6:K45" si="14">K5+0.25</f>
        <v>6.5</v>
      </c>
      <c r="L6">
        <f t="shared" si="4"/>
        <v>0.5</v>
      </c>
      <c r="M6">
        <f t="shared" si="5"/>
        <v>1.2699999999999999E-2</v>
      </c>
      <c r="N6">
        <v>0.8</v>
      </c>
      <c r="R6">
        <f t="shared" ref="R6:R52" si="15">R5+0.5</f>
        <v>13</v>
      </c>
      <c r="S6">
        <f t="shared" si="6"/>
        <v>1</v>
      </c>
      <c r="T6">
        <f t="shared" si="7"/>
        <v>2.5399999999999999E-2</v>
      </c>
      <c r="U6">
        <v>1.4</v>
      </c>
      <c r="W6">
        <f t="shared" ref="W6:W52" si="16">W5+0.5</f>
        <v>13</v>
      </c>
      <c r="X6">
        <f t="shared" si="8"/>
        <v>1</v>
      </c>
      <c r="Y6">
        <f t="shared" si="9"/>
        <v>2.5399999999999999E-2</v>
      </c>
      <c r="Z6">
        <v>1.4</v>
      </c>
      <c r="AB6">
        <f t="shared" ref="AB6:AB52" si="17">AB5+0.5</f>
        <v>13</v>
      </c>
      <c r="AC6">
        <f t="shared" si="10"/>
        <v>1</v>
      </c>
      <c r="AD6">
        <f t="shared" si="11"/>
        <v>2.5399999999999999E-2</v>
      </c>
      <c r="AE6">
        <v>1.8</v>
      </c>
    </row>
    <row r="7" spans="1:31" x14ac:dyDescent="0.5">
      <c r="A7">
        <f t="shared" si="12"/>
        <v>6.75</v>
      </c>
      <c r="B7">
        <f t="shared" si="0"/>
        <v>0.75</v>
      </c>
      <c r="C7">
        <f t="shared" si="1"/>
        <v>1.9049999999999997E-2</v>
      </c>
      <c r="D7">
        <v>2</v>
      </c>
      <c r="F7">
        <f t="shared" si="13"/>
        <v>6.75</v>
      </c>
      <c r="G7">
        <f t="shared" si="2"/>
        <v>0.75</v>
      </c>
      <c r="H7">
        <f t="shared" si="3"/>
        <v>1.9049999999999997E-2</v>
      </c>
      <c r="I7">
        <v>1.8</v>
      </c>
      <c r="K7">
        <f t="shared" si="14"/>
        <v>6.75</v>
      </c>
      <c r="L7">
        <f t="shared" si="4"/>
        <v>0.75</v>
      </c>
      <c r="M7">
        <f t="shared" si="5"/>
        <v>1.9049999999999997E-2</v>
      </c>
      <c r="N7">
        <v>1.8</v>
      </c>
      <c r="R7">
        <f t="shared" si="15"/>
        <v>13.5</v>
      </c>
      <c r="S7">
        <f t="shared" si="6"/>
        <v>1.5</v>
      </c>
      <c r="T7">
        <f t="shared" si="7"/>
        <v>3.8099999999999995E-2</v>
      </c>
      <c r="U7">
        <v>2.4</v>
      </c>
      <c r="W7">
        <f t="shared" si="16"/>
        <v>13.5</v>
      </c>
      <c r="X7">
        <f t="shared" si="8"/>
        <v>1.5</v>
      </c>
      <c r="Y7">
        <f t="shared" si="9"/>
        <v>3.8099999999999995E-2</v>
      </c>
      <c r="Z7">
        <v>2.2000000000000002</v>
      </c>
      <c r="AB7">
        <f t="shared" si="17"/>
        <v>13.5</v>
      </c>
      <c r="AC7">
        <f t="shared" si="10"/>
        <v>1.5</v>
      </c>
      <c r="AD7">
        <f t="shared" si="11"/>
        <v>3.8099999999999995E-2</v>
      </c>
      <c r="AE7">
        <v>2.6</v>
      </c>
    </row>
    <row r="8" spans="1:31" x14ac:dyDescent="0.5">
      <c r="A8">
        <f t="shared" si="12"/>
        <v>7</v>
      </c>
      <c r="B8">
        <f t="shared" si="0"/>
        <v>1</v>
      </c>
      <c r="C8">
        <f t="shared" si="1"/>
        <v>2.5399999999999999E-2</v>
      </c>
      <c r="D8">
        <v>3</v>
      </c>
      <c r="F8">
        <f t="shared" si="13"/>
        <v>7</v>
      </c>
      <c r="G8">
        <f t="shared" si="2"/>
        <v>1</v>
      </c>
      <c r="H8">
        <f t="shared" si="3"/>
        <v>2.5399999999999999E-2</v>
      </c>
      <c r="I8">
        <v>2.4</v>
      </c>
      <c r="K8">
        <f t="shared" si="14"/>
        <v>7</v>
      </c>
      <c r="L8">
        <f t="shared" si="4"/>
        <v>1</v>
      </c>
      <c r="M8">
        <f t="shared" si="5"/>
        <v>2.5399999999999999E-2</v>
      </c>
      <c r="N8">
        <v>2.2000000000000002</v>
      </c>
      <c r="R8">
        <f t="shared" si="15"/>
        <v>14</v>
      </c>
      <c r="S8">
        <f t="shared" si="6"/>
        <v>2</v>
      </c>
      <c r="T8">
        <f t="shared" si="7"/>
        <v>5.0799999999999998E-2</v>
      </c>
      <c r="U8">
        <v>3.6</v>
      </c>
      <c r="W8">
        <f t="shared" si="16"/>
        <v>14</v>
      </c>
      <c r="X8">
        <f t="shared" si="8"/>
        <v>2</v>
      </c>
      <c r="Y8">
        <f t="shared" si="9"/>
        <v>5.0799999999999998E-2</v>
      </c>
      <c r="Z8">
        <v>3</v>
      </c>
      <c r="AB8">
        <f t="shared" si="17"/>
        <v>14</v>
      </c>
      <c r="AC8">
        <f t="shared" si="10"/>
        <v>2</v>
      </c>
      <c r="AD8">
        <f t="shared" si="11"/>
        <v>5.0799999999999998E-2</v>
      </c>
      <c r="AE8">
        <v>3.4</v>
      </c>
    </row>
    <row r="9" spans="1:31" x14ac:dyDescent="0.5">
      <c r="A9">
        <f t="shared" si="12"/>
        <v>7.25</v>
      </c>
      <c r="B9">
        <f t="shared" si="0"/>
        <v>1.25</v>
      </c>
      <c r="C9">
        <f t="shared" si="1"/>
        <v>3.175E-2</v>
      </c>
      <c r="D9">
        <v>3.2</v>
      </c>
      <c r="F9">
        <f t="shared" si="13"/>
        <v>7.25</v>
      </c>
      <c r="G9">
        <f t="shared" si="2"/>
        <v>1.25</v>
      </c>
      <c r="H9">
        <f t="shared" si="3"/>
        <v>3.175E-2</v>
      </c>
      <c r="I9">
        <v>3</v>
      </c>
      <c r="K9">
        <f t="shared" si="14"/>
        <v>7.25</v>
      </c>
      <c r="L9">
        <f t="shared" si="4"/>
        <v>1.25</v>
      </c>
      <c r="M9">
        <f t="shared" si="5"/>
        <v>3.175E-2</v>
      </c>
      <c r="N9">
        <v>2.8</v>
      </c>
      <c r="R9">
        <f t="shared" si="15"/>
        <v>14.5</v>
      </c>
      <c r="S9">
        <f t="shared" si="6"/>
        <v>2.5</v>
      </c>
      <c r="T9">
        <f t="shared" si="7"/>
        <v>6.3500000000000001E-2</v>
      </c>
      <c r="U9">
        <v>4</v>
      </c>
      <c r="W9">
        <f t="shared" si="16"/>
        <v>14.5</v>
      </c>
      <c r="X9">
        <f t="shared" si="8"/>
        <v>2.5</v>
      </c>
      <c r="Y9">
        <f t="shared" si="9"/>
        <v>6.3500000000000001E-2</v>
      </c>
      <c r="Z9">
        <v>3.4</v>
      </c>
      <c r="AB9">
        <f t="shared" si="17"/>
        <v>14.5</v>
      </c>
      <c r="AC9">
        <f t="shared" si="10"/>
        <v>2.5</v>
      </c>
      <c r="AD9">
        <f t="shared" si="11"/>
        <v>6.3500000000000001E-2</v>
      </c>
      <c r="AE9">
        <v>3.8</v>
      </c>
    </row>
    <row r="10" spans="1:31" x14ac:dyDescent="0.5">
      <c r="A10">
        <f t="shared" si="12"/>
        <v>7.5</v>
      </c>
      <c r="B10">
        <f t="shared" si="0"/>
        <v>1.5</v>
      </c>
      <c r="C10">
        <f t="shared" si="1"/>
        <v>3.8099999999999995E-2</v>
      </c>
      <c r="D10">
        <v>4</v>
      </c>
      <c r="F10">
        <f t="shared" si="13"/>
        <v>7.5</v>
      </c>
      <c r="G10">
        <f t="shared" si="2"/>
        <v>1.5</v>
      </c>
      <c r="H10">
        <f t="shared" si="3"/>
        <v>3.8099999999999995E-2</v>
      </c>
      <c r="I10">
        <v>3.6</v>
      </c>
      <c r="K10">
        <f t="shared" si="14"/>
        <v>7.5</v>
      </c>
      <c r="L10">
        <f t="shared" si="4"/>
        <v>1.5</v>
      </c>
      <c r="M10">
        <f t="shared" si="5"/>
        <v>3.8099999999999995E-2</v>
      </c>
      <c r="N10">
        <v>3.6</v>
      </c>
      <c r="R10">
        <f t="shared" si="15"/>
        <v>15</v>
      </c>
      <c r="S10">
        <f t="shared" si="6"/>
        <v>3</v>
      </c>
      <c r="T10">
        <f t="shared" si="7"/>
        <v>7.619999999999999E-2</v>
      </c>
      <c r="U10">
        <v>4.8</v>
      </c>
      <c r="W10">
        <f t="shared" si="16"/>
        <v>15</v>
      </c>
      <c r="X10">
        <f t="shared" si="8"/>
        <v>3</v>
      </c>
      <c r="Y10">
        <f t="shared" si="9"/>
        <v>7.619999999999999E-2</v>
      </c>
      <c r="Z10">
        <v>4.4000000000000004</v>
      </c>
      <c r="AB10">
        <f t="shared" si="17"/>
        <v>15</v>
      </c>
      <c r="AC10">
        <f t="shared" si="10"/>
        <v>3</v>
      </c>
      <c r="AD10">
        <f t="shared" si="11"/>
        <v>7.619999999999999E-2</v>
      </c>
      <c r="AE10">
        <v>4.4000000000000004</v>
      </c>
    </row>
    <row r="11" spans="1:31" x14ac:dyDescent="0.5">
      <c r="A11">
        <f t="shared" si="12"/>
        <v>7.75</v>
      </c>
      <c r="B11">
        <f t="shared" si="0"/>
        <v>1.75</v>
      </c>
      <c r="C11">
        <f t="shared" si="1"/>
        <v>4.4449999999999996E-2</v>
      </c>
      <c r="D11">
        <v>4.5999999999999996</v>
      </c>
      <c r="F11">
        <f t="shared" si="13"/>
        <v>7.75</v>
      </c>
      <c r="G11">
        <f t="shared" si="2"/>
        <v>1.75</v>
      </c>
      <c r="H11">
        <f t="shared" si="3"/>
        <v>4.4449999999999996E-2</v>
      </c>
      <c r="I11">
        <v>4</v>
      </c>
      <c r="K11">
        <f t="shared" si="14"/>
        <v>7.75</v>
      </c>
      <c r="L11">
        <f t="shared" si="4"/>
        <v>1.75</v>
      </c>
      <c r="M11">
        <f t="shared" si="5"/>
        <v>4.4449999999999996E-2</v>
      </c>
      <c r="N11">
        <v>4</v>
      </c>
      <c r="R11">
        <f t="shared" si="15"/>
        <v>15.5</v>
      </c>
      <c r="S11">
        <f t="shared" si="6"/>
        <v>3.5</v>
      </c>
      <c r="T11">
        <f t="shared" si="7"/>
        <v>8.8899999999999993E-2</v>
      </c>
      <c r="U11">
        <v>5.6</v>
      </c>
      <c r="W11">
        <f t="shared" si="16"/>
        <v>15.5</v>
      </c>
      <c r="X11">
        <f t="shared" si="8"/>
        <v>3.5</v>
      </c>
      <c r="Y11">
        <f t="shared" si="9"/>
        <v>8.8899999999999993E-2</v>
      </c>
      <c r="Z11">
        <v>4.8</v>
      </c>
      <c r="AB11">
        <f t="shared" si="17"/>
        <v>15.5</v>
      </c>
      <c r="AC11">
        <f t="shared" si="10"/>
        <v>3.5</v>
      </c>
      <c r="AD11">
        <f t="shared" si="11"/>
        <v>8.8899999999999993E-2</v>
      </c>
      <c r="AE11">
        <v>5</v>
      </c>
    </row>
    <row r="12" spans="1:31" x14ac:dyDescent="0.5">
      <c r="A12">
        <f t="shared" si="12"/>
        <v>8</v>
      </c>
      <c r="B12">
        <f t="shared" si="0"/>
        <v>2</v>
      </c>
      <c r="C12">
        <f t="shared" si="1"/>
        <v>5.0799999999999998E-2</v>
      </c>
      <c r="D12">
        <v>4.8</v>
      </c>
      <c r="F12">
        <f t="shared" si="13"/>
        <v>8</v>
      </c>
      <c r="G12">
        <f t="shared" si="2"/>
        <v>2</v>
      </c>
      <c r="H12">
        <f t="shared" si="3"/>
        <v>5.0799999999999998E-2</v>
      </c>
      <c r="I12">
        <v>4.5999999999999996</v>
      </c>
      <c r="K12">
        <f t="shared" si="14"/>
        <v>8</v>
      </c>
      <c r="L12">
        <f t="shared" si="4"/>
        <v>2</v>
      </c>
      <c r="M12">
        <f t="shared" si="5"/>
        <v>5.0799999999999998E-2</v>
      </c>
      <c r="N12">
        <v>4.4000000000000004</v>
      </c>
      <c r="R12">
        <f t="shared" si="15"/>
        <v>16</v>
      </c>
      <c r="S12">
        <f t="shared" si="6"/>
        <v>4</v>
      </c>
      <c r="T12">
        <f t="shared" si="7"/>
        <v>0.1016</v>
      </c>
      <c r="U12">
        <v>6</v>
      </c>
      <c r="W12">
        <f t="shared" si="16"/>
        <v>16</v>
      </c>
      <c r="X12">
        <f t="shared" si="8"/>
        <v>4</v>
      </c>
      <c r="Y12">
        <f t="shared" si="9"/>
        <v>0.1016</v>
      </c>
      <c r="Z12">
        <v>5.4</v>
      </c>
      <c r="AB12">
        <f t="shared" si="17"/>
        <v>16</v>
      </c>
      <c r="AC12">
        <f t="shared" si="10"/>
        <v>4</v>
      </c>
      <c r="AD12">
        <f t="shared" si="11"/>
        <v>0.1016</v>
      </c>
      <c r="AE12">
        <v>5.4</v>
      </c>
    </row>
    <row r="13" spans="1:31" x14ac:dyDescent="0.5">
      <c r="A13">
        <f t="shared" si="12"/>
        <v>8.25</v>
      </c>
      <c r="B13">
        <f t="shared" si="0"/>
        <v>2.25</v>
      </c>
      <c r="C13">
        <f t="shared" si="1"/>
        <v>5.7149999999999999E-2</v>
      </c>
      <c r="D13">
        <v>5.6</v>
      </c>
      <c r="F13">
        <f t="shared" si="13"/>
        <v>8.25</v>
      </c>
      <c r="G13">
        <f t="shared" si="2"/>
        <v>2.25</v>
      </c>
      <c r="H13">
        <f t="shared" si="3"/>
        <v>5.7149999999999999E-2</v>
      </c>
      <c r="I13">
        <v>4.8</v>
      </c>
      <c r="K13">
        <f t="shared" si="14"/>
        <v>8.25</v>
      </c>
      <c r="L13">
        <f t="shared" si="4"/>
        <v>2.25</v>
      </c>
      <c r="M13">
        <f t="shared" si="5"/>
        <v>5.7149999999999999E-2</v>
      </c>
      <c r="N13">
        <v>5</v>
      </c>
      <c r="R13">
        <f t="shared" si="15"/>
        <v>16.5</v>
      </c>
      <c r="S13">
        <f t="shared" si="6"/>
        <v>4.5</v>
      </c>
      <c r="T13">
        <f t="shared" si="7"/>
        <v>0.1143</v>
      </c>
      <c r="U13">
        <v>6.4</v>
      </c>
      <c r="W13">
        <f t="shared" si="16"/>
        <v>16.5</v>
      </c>
      <c r="X13">
        <f t="shared" si="8"/>
        <v>4.5</v>
      </c>
      <c r="Y13">
        <f t="shared" si="9"/>
        <v>0.1143</v>
      </c>
      <c r="Z13">
        <v>5.8</v>
      </c>
      <c r="AB13">
        <f t="shared" si="17"/>
        <v>16.5</v>
      </c>
      <c r="AC13">
        <f t="shared" si="10"/>
        <v>4.5</v>
      </c>
      <c r="AD13">
        <f t="shared" si="11"/>
        <v>0.1143</v>
      </c>
      <c r="AE13">
        <v>5.8</v>
      </c>
    </row>
    <row r="14" spans="1:31" x14ac:dyDescent="0.5">
      <c r="A14">
        <f t="shared" si="12"/>
        <v>8.5</v>
      </c>
      <c r="B14">
        <f t="shared" si="0"/>
        <v>2.5</v>
      </c>
      <c r="C14">
        <f t="shared" si="1"/>
        <v>6.3500000000000001E-2</v>
      </c>
      <c r="D14">
        <v>5.8</v>
      </c>
      <c r="F14">
        <f t="shared" si="13"/>
        <v>8.5</v>
      </c>
      <c r="G14">
        <f t="shared" si="2"/>
        <v>2.5</v>
      </c>
      <c r="H14">
        <f t="shared" si="3"/>
        <v>6.3500000000000001E-2</v>
      </c>
      <c r="I14">
        <v>5.4</v>
      </c>
      <c r="K14">
        <f t="shared" si="14"/>
        <v>8.5</v>
      </c>
      <c r="L14">
        <f t="shared" si="4"/>
        <v>2.5</v>
      </c>
      <c r="M14">
        <f t="shared" si="5"/>
        <v>6.3500000000000001E-2</v>
      </c>
      <c r="N14">
        <v>5.4</v>
      </c>
      <c r="R14">
        <f t="shared" si="15"/>
        <v>17</v>
      </c>
      <c r="S14">
        <f t="shared" si="6"/>
        <v>5</v>
      </c>
      <c r="T14">
        <f t="shared" si="7"/>
        <v>0.127</v>
      </c>
      <c r="U14">
        <v>6.8</v>
      </c>
      <c r="W14">
        <f t="shared" si="16"/>
        <v>17</v>
      </c>
      <c r="X14">
        <f t="shared" si="8"/>
        <v>5</v>
      </c>
      <c r="Y14">
        <f t="shared" si="9"/>
        <v>0.127</v>
      </c>
      <c r="Z14">
        <v>6.2</v>
      </c>
      <c r="AB14">
        <f t="shared" si="17"/>
        <v>17</v>
      </c>
      <c r="AC14">
        <f t="shared" si="10"/>
        <v>5</v>
      </c>
      <c r="AD14">
        <f t="shared" si="11"/>
        <v>0.127</v>
      </c>
      <c r="AE14">
        <v>6.4</v>
      </c>
    </row>
    <row r="15" spans="1:31" x14ac:dyDescent="0.5">
      <c r="A15">
        <f t="shared" si="12"/>
        <v>8.75</v>
      </c>
      <c r="B15">
        <f t="shared" si="0"/>
        <v>2.75</v>
      </c>
      <c r="C15">
        <f t="shared" si="1"/>
        <v>6.9849999999999995E-2</v>
      </c>
      <c r="D15">
        <v>6.2</v>
      </c>
      <c r="F15">
        <f t="shared" si="13"/>
        <v>8.75</v>
      </c>
      <c r="G15">
        <f t="shared" si="2"/>
        <v>2.75</v>
      </c>
      <c r="H15">
        <f t="shared" si="3"/>
        <v>6.9849999999999995E-2</v>
      </c>
      <c r="I15">
        <v>5.8</v>
      </c>
      <c r="K15">
        <f t="shared" si="14"/>
        <v>8.75</v>
      </c>
      <c r="L15">
        <f t="shared" si="4"/>
        <v>2.75</v>
      </c>
      <c r="M15">
        <f t="shared" si="5"/>
        <v>6.9849999999999995E-2</v>
      </c>
      <c r="N15">
        <v>5.8</v>
      </c>
      <c r="R15">
        <f t="shared" si="15"/>
        <v>17.5</v>
      </c>
      <c r="S15">
        <f t="shared" si="6"/>
        <v>5.5</v>
      </c>
      <c r="T15">
        <f t="shared" si="7"/>
        <v>0.13969999999999999</v>
      </c>
      <c r="U15">
        <v>7.2</v>
      </c>
      <c r="W15">
        <f t="shared" si="16"/>
        <v>17.5</v>
      </c>
      <c r="X15">
        <f t="shared" si="8"/>
        <v>5.5</v>
      </c>
      <c r="Y15">
        <f t="shared" si="9"/>
        <v>0.13969999999999999</v>
      </c>
      <c r="Z15">
        <v>6.8</v>
      </c>
      <c r="AB15">
        <f t="shared" si="17"/>
        <v>17.5</v>
      </c>
      <c r="AC15">
        <f t="shared" si="10"/>
        <v>5.5</v>
      </c>
      <c r="AD15">
        <f t="shared" si="11"/>
        <v>0.13969999999999999</v>
      </c>
      <c r="AE15">
        <v>6.8</v>
      </c>
    </row>
    <row r="16" spans="1:31" x14ac:dyDescent="0.5">
      <c r="A16">
        <f t="shared" si="12"/>
        <v>9</v>
      </c>
      <c r="B16">
        <f t="shared" si="0"/>
        <v>3</v>
      </c>
      <c r="C16">
        <f t="shared" si="1"/>
        <v>7.619999999999999E-2</v>
      </c>
      <c r="D16">
        <v>6.6</v>
      </c>
      <c r="F16">
        <f t="shared" si="13"/>
        <v>9</v>
      </c>
      <c r="G16">
        <f t="shared" si="2"/>
        <v>3</v>
      </c>
      <c r="H16">
        <f t="shared" si="3"/>
        <v>7.619999999999999E-2</v>
      </c>
      <c r="I16">
        <v>6</v>
      </c>
      <c r="K16">
        <f t="shared" si="14"/>
        <v>9</v>
      </c>
      <c r="L16">
        <f t="shared" si="4"/>
        <v>3</v>
      </c>
      <c r="M16">
        <f t="shared" si="5"/>
        <v>7.619999999999999E-2</v>
      </c>
      <c r="N16">
        <v>6</v>
      </c>
      <c r="R16">
        <f t="shared" si="15"/>
        <v>18</v>
      </c>
      <c r="S16">
        <f t="shared" si="6"/>
        <v>6</v>
      </c>
      <c r="T16">
        <f t="shared" si="7"/>
        <v>0.15239999999999998</v>
      </c>
      <c r="U16">
        <v>7.8</v>
      </c>
      <c r="W16">
        <f t="shared" si="16"/>
        <v>18</v>
      </c>
      <c r="X16">
        <f t="shared" si="8"/>
        <v>6</v>
      </c>
      <c r="Y16">
        <f t="shared" si="9"/>
        <v>0.15239999999999998</v>
      </c>
      <c r="Z16">
        <v>7</v>
      </c>
      <c r="AB16">
        <f t="shared" si="17"/>
        <v>18</v>
      </c>
      <c r="AC16">
        <f t="shared" si="10"/>
        <v>6</v>
      </c>
      <c r="AD16">
        <f t="shared" si="11"/>
        <v>0.15239999999999998</v>
      </c>
      <c r="AE16">
        <v>7.2</v>
      </c>
    </row>
    <row r="17" spans="1:31" x14ac:dyDescent="0.5">
      <c r="A17">
        <f t="shared" si="12"/>
        <v>9.25</v>
      </c>
      <c r="B17">
        <f t="shared" si="0"/>
        <v>3.25</v>
      </c>
      <c r="C17">
        <f t="shared" si="1"/>
        <v>8.2549999999999998E-2</v>
      </c>
      <c r="D17">
        <v>7</v>
      </c>
      <c r="F17">
        <f t="shared" si="13"/>
        <v>9.25</v>
      </c>
      <c r="G17">
        <f t="shared" si="2"/>
        <v>3.25</v>
      </c>
      <c r="H17">
        <f t="shared" si="3"/>
        <v>8.2549999999999998E-2</v>
      </c>
      <c r="I17">
        <v>6.6</v>
      </c>
      <c r="K17">
        <f t="shared" si="14"/>
        <v>9.25</v>
      </c>
      <c r="L17">
        <f t="shared" si="4"/>
        <v>3.25</v>
      </c>
      <c r="M17">
        <f t="shared" si="5"/>
        <v>8.2549999999999998E-2</v>
      </c>
      <c r="N17">
        <v>6.4</v>
      </c>
      <c r="R17">
        <f t="shared" si="15"/>
        <v>18.5</v>
      </c>
      <c r="S17">
        <f t="shared" si="6"/>
        <v>6.5</v>
      </c>
      <c r="T17">
        <f t="shared" si="7"/>
        <v>0.1651</v>
      </c>
      <c r="U17">
        <v>8.1999999999999993</v>
      </c>
      <c r="W17">
        <f t="shared" si="16"/>
        <v>18.5</v>
      </c>
      <c r="X17">
        <f t="shared" si="8"/>
        <v>6.5</v>
      </c>
      <c r="Y17">
        <f t="shared" si="9"/>
        <v>0.1651</v>
      </c>
      <c r="Z17">
        <v>7.4</v>
      </c>
      <c r="AB17">
        <f t="shared" si="17"/>
        <v>18.5</v>
      </c>
      <c r="AC17">
        <f t="shared" si="10"/>
        <v>6.5</v>
      </c>
      <c r="AD17">
        <f t="shared" si="11"/>
        <v>0.1651</v>
      </c>
      <c r="AE17">
        <v>7.4</v>
      </c>
    </row>
    <row r="18" spans="1:31" x14ac:dyDescent="0.5">
      <c r="A18">
        <f t="shared" si="12"/>
        <v>9.5</v>
      </c>
      <c r="B18">
        <f t="shared" si="0"/>
        <v>3.5</v>
      </c>
      <c r="C18">
        <f t="shared" si="1"/>
        <v>8.8899999999999993E-2</v>
      </c>
      <c r="D18">
        <v>7.4</v>
      </c>
      <c r="F18">
        <f t="shared" si="13"/>
        <v>9.5</v>
      </c>
      <c r="G18">
        <f t="shared" si="2"/>
        <v>3.5</v>
      </c>
      <c r="H18">
        <f t="shared" si="3"/>
        <v>8.8899999999999993E-2</v>
      </c>
      <c r="I18">
        <v>6.8</v>
      </c>
      <c r="K18">
        <f t="shared" si="14"/>
        <v>9.5</v>
      </c>
      <c r="L18">
        <f t="shared" si="4"/>
        <v>3.5</v>
      </c>
      <c r="M18">
        <f t="shared" si="5"/>
        <v>8.8899999999999993E-2</v>
      </c>
      <c r="N18">
        <v>6.8</v>
      </c>
      <c r="R18">
        <f t="shared" si="15"/>
        <v>19</v>
      </c>
      <c r="S18">
        <f t="shared" si="6"/>
        <v>7</v>
      </c>
      <c r="T18">
        <f t="shared" si="7"/>
        <v>0.17779999999999999</v>
      </c>
      <c r="U18">
        <v>8.6</v>
      </c>
      <c r="W18">
        <f t="shared" si="16"/>
        <v>19</v>
      </c>
      <c r="X18">
        <f t="shared" si="8"/>
        <v>7</v>
      </c>
      <c r="Y18">
        <f t="shared" si="9"/>
        <v>0.17779999999999999</v>
      </c>
      <c r="Z18">
        <v>8</v>
      </c>
      <c r="AB18">
        <f t="shared" si="17"/>
        <v>19</v>
      </c>
      <c r="AC18">
        <f t="shared" si="10"/>
        <v>7</v>
      </c>
      <c r="AD18">
        <f t="shared" si="11"/>
        <v>0.17779999999999999</v>
      </c>
      <c r="AE18">
        <v>7.8</v>
      </c>
    </row>
    <row r="19" spans="1:31" x14ac:dyDescent="0.5">
      <c r="A19">
        <f t="shared" si="12"/>
        <v>9.75</v>
      </c>
      <c r="B19">
        <f t="shared" si="0"/>
        <v>3.75</v>
      </c>
      <c r="C19">
        <f t="shared" si="1"/>
        <v>9.5250000000000001E-2</v>
      </c>
      <c r="D19">
        <v>8</v>
      </c>
      <c r="F19">
        <f t="shared" si="13"/>
        <v>9.75</v>
      </c>
      <c r="G19">
        <f t="shared" si="2"/>
        <v>3.75</v>
      </c>
      <c r="H19">
        <f t="shared" si="3"/>
        <v>9.5250000000000001E-2</v>
      </c>
      <c r="I19">
        <v>7</v>
      </c>
      <c r="K19">
        <f t="shared" si="14"/>
        <v>9.75</v>
      </c>
      <c r="L19">
        <f t="shared" si="4"/>
        <v>3.75</v>
      </c>
      <c r="M19">
        <f t="shared" si="5"/>
        <v>9.5250000000000001E-2</v>
      </c>
      <c r="N19">
        <v>7</v>
      </c>
      <c r="R19">
        <f t="shared" si="15"/>
        <v>19.5</v>
      </c>
      <c r="S19">
        <f t="shared" si="6"/>
        <v>7.5</v>
      </c>
      <c r="T19">
        <f>S19*0.0254</f>
        <v>0.1905</v>
      </c>
      <c r="U19">
        <v>9</v>
      </c>
      <c r="W19">
        <f t="shared" si="16"/>
        <v>19.5</v>
      </c>
      <c r="X19">
        <f t="shared" si="8"/>
        <v>7.5</v>
      </c>
      <c r="Y19">
        <f>X19*0.0254</f>
        <v>0.1905</v>
      </c>
      <c r="Z19">
        <v>8.1999999999999993</v>
      </c>
      <c r="AB19">
        <f t="shared" si="17"/>
        <v>19.5</v>
      </c>
      <c r="AC19">
        <f t="shared" si="10"/>
        <v>7.5</v>
      </c>
      <c r="AD19">
        <f>AC19*0.0254</f>
        <v>0.1905</v>
      </c>
      <c r="AE19">
        <v>8.1999999999999993</v>
      </c>
    </row>
    <row r="20" spans="1:31" x14ac:dyDescent="0.5">
      <c r="A20">
        <f t="shared" si="12"/>
        <v>10</v>
      </c>
      <c r="B20">
        <f t="shared" si="0"/>
        <v>4</v>
      </c>
      <c r="C20">
        <f t="shared" si="1"/>
        <v>0.1016</v>
      </c>
      <c r="D20">
        <v>8.4</v>
      </c>
      <c r="F20">
        <f t="shared" si="13"/>
        <v>10</v>
      </c>
      <c r="G20">
        <f t="shared" si="2"/>
        <v>4</v>
      </c>
      <c r="H20">
        <f t="shared" si="3"/>
        <v>0.1016</v>
      </c>
      <c r="I20">
        <v>7.4</v>
      </c>
      <c r="K20">
        <f t="shared" si="14"/>
        <v>10</v>
      </c>
      <c r="L20">
        <f t="shared" si="4"/>
        <v>4</v>
      </c>
      <c r="M20">
        <f t="shared" si="5"/>
        <v>0.1016</v>
      </c>
      <c r="N20">
        <v>7.2</v>
      </c>
      <c r="R20">
        <f t="shared" si="15"/>
        <v>20</v>
      </c>
      <c r="S20">
        <f t="shared" si="6"/>
        <v>8</v>
      </c>
      <c r="T20">
        <f t="shared" si="7"/>
        <v>0.20319999999999999</v>
      </c>
      <c r="U20">
        <v>9.4</v>
      </c>
      <c r="W20">
        <f t="shared" si="16"/>
        <v>20</v>
      </c>
      <c r="X20">
        <f t="shared" si="8"/>
        <v>8</v>
      </c>
      <c r="Y20">
        <f t="shared" si="9"/>
        <v>0.20319999999999999</v>
      </c>
      <c r="Z20">
        <v>8.4</v>
      </c>
      <c r="AB20">
        <f t="shared" si="17"/>
        <v>20</v>
      </c>
      <c r="AC20">
        <f t="shared" si="10"/>
        <v>8</v>
      </c>
      <c r="AD20">
        <f t="shared" si="11"/>
        <v>0.20319999999999999</v>
      </c>
      <c r="AE20">
        <v>8.6</v>
      </c>
    </row>
    <row r="21" spans="1:31" x14ac:dyDescent="0.5">
      <c r="A21">
        <f t="shared" si="12"/>
        <v>10.25</v>
      </c>
      <c r="B21">
        <f t="shared" si="0"/>
        <v>4.25</v>
      </c>
      <c r="C21">
        <f t="shared" si="1"/>
        <v>0.10794999999999999</v>
      </c>
      <c r="D21">
        <v>8.6</v>
      </c>
      <c r="F21">
        <f t="shared" si="13"/>
        <v>10.25</v>
      </c>
      <c r="G21">
        <f t="shared" si="2"/>
        <v>4.25</v>
      </c>
      <c r="H21">
        <f t="shared" si="3"/>
        <v>0.10794999999999999</v>
      </c>
      <c r="I21">
        <v>7.8</v>
      </c>
      <c r="K21">
        <f t="shared" si="14"/>
        <v>10.25</v>
      </c>
      <c r="L21">
        <f t="shared" si="4"/>
        <v>4.25</v>
      </c>
      <c r="M21">
        <f t="shared" si="5"/>
        <v>0.10794999999999999</v>
      </c>
      <c r="N21">
        <v>7.6</v>
      </c>
      <c r="R21">
        <f t="shared" si="15"/>
        <v>20.5</v>
      </c>
      <c r="S21">
        <f t="shared" si="6"/>
        <v>8.5</v>
      </c>
      <c r="T21">
        <f t="shared" si="7"/>
        <v>0.21589999999999998</v>
      </c>
      <c r="U21">
        <v>9.6</v>
      </c>
      <c r="W21">
        <f t="shared" si="16"/>
        <v>20.5</v>
      </c>
      <c r="X21">
        <f t="shared" si="8"/>
        <v>8.5</v>
      </c>
      <c r="Y21">
        <f t="shared" si="9"/>
        <v>0.21589999999999998</v>
      </c>
      <c r="Z21">
        <v>8.8000000000000007</v>
      </c>
      <c r="AB21">
        <f t="shared" si="17"/>
        <v>20.5</v>
      </c>
      <c r="AC21">
        <f t="shared" si="10"/>
        <v>8.5</v>
      </c>
      <c r="AD21">
        <f t="shared" si="11"/>
        <v>0.21589999999999998</v>
      </c>
      <c r="AE21">
        <v>8.8000000000000007</v>
      </c>
    </row>
    <row r="22" spans="1:31" x14ac:dyDescent="0.5">
      <c r="A22">
        <f t="shared" si="12"/>
        <v>10.5</v>
      </c>
      <c r="B22">
        <f t="shared" si="0"/>
        <v>4.5</v>
      </c>
      <c r="C22">
        <f t="shared" si="1"/>
        <v>0.1143</v>
      </c>
      <c r="D22">
        <v>9.1999999999999993</v>
      </c>
      <c r="F22">
        <f t="shared" si="13"/>
        <v>10.5</v>
      </c>
      <c r="G22">
        <f t="shared" si="2"/>
        <v>4.5</v>
      </c>
      <c r="H22">
        <f t="shared" si="3"/>
        <v>0.1143</v>
      </c>
      <c r="I22">
        <v>8.1999999999999993</v>
      </c>
      <c r="K22">
        <f t="shared" si="14"/>
        <v>10.5</v>
      </c>
      <c r="L22">
        <f t="shared" si="4"/>
        <v>4.5</v>
      </c>
      <c r="M22">
        <f t="shared" si="5"/>
        <v>0.1143</v>
      </c>
      <c r="N22">
        <v>8</v>
      </c>
      <c r="R22">
        <f t="shared" si="15"/>
        <v>21</v>
      </c>
      <c r="S22">
        <f t="shared" si="6"/>
        <v>9</v>
      </c>
      <c r="T22">
        <f t="shared" si="7"/>
        <v>0.2286</v>
      </c>
      <c r="U22">
        <v>10</v>
      </c>
      <c r="W22">
        <f t="shared" si="16"/>
        <v>21</v>
      </c>
      <c r="X22">
        <f t="shared" si="8"/>
        <v>9</v>
      </c>
      <c r="Y22">
        <f t="shared" si="9"/>
        <v>0.2286</v>
      </c>
      <c r="Z22">
        <v>9.1999999999999993</v>
      </c>
      <c r="AB22">
        <f t="shared" si="17"/>
        <v>21</v>
      </c>
      <c r="AC22">
        <f t="shared" si="10"/>
        <v>9</v>
      </c>
      <c r="AD22">
        <f t="shared" si="11"/>
        <v>0.2286</v>
      </c>
      <c r="AE22">
        <v>9.1999999999999993</v>
      </c>
    </row>
    <row r="23" spans="1:31" x14ac:dyDescent="0.5">
      <c r="A23">
        <f t="shared" si="12"/>
        <v>10.75</v>
      </c>
      <c r="B23">
        <f t="shared" si="0"/>
        <v>4.75</v>
      </c>
      <c r="C23">
        <f t="shared" si="1"/>
        <v>0.12064999999999999</v>
      </c>
      <c r="D23">
        <v>9.4</v>
      </c>
      <c r="F23">
        <f t="shared" si="13"/>
        <v>10.75</v>
      </c>
      <c r="G23">
        <f t="shared" si="2"/>
        <v>4.75</v>
      </c>
      <c r="H23">
        <f t="shared" si="3"/>
        <v>0.12064999999999999</v>
      </c>
      <c r="I23">
        <v>8.4</v>
      </c>
      <c r="K23">
        <f t="shared" si="14"/>
        <v>10.75</v>
      </c>
      <c r="L23">
        <f t="shared" si="4"/>
        <v>4.75</v>
      </c>
      <c r="M23">
        <f t="shared" si="5"/>
        <v>0.12064999999999999</v>
      </c>
      <c r="N23">
        <v>8.4</v>
      </c>
      <c r="R23">
        <f t="shared" si="15"/>
        <v>21.5</v>
      </c>
      <c r="S23">
        <f t="shared" si="6"/>
        <v>9.5</v>
      </c>
      <c r="T23">
        <f t="shared" si="7"/>
        <v>0.24129999999999999</v>
      </c>
      <c r="U23">
        <v>10.199999999999999</v>
      </c>
      <c r="W23">
        <f t="shared" si="16"/>
        <v>21.5</v>
      </c>
      <c r="X23">
        <f t="shared" si="8"/>
        <v>9.5</v>
      </c>
      <c r="Y23">
        <f t="shared" si="9"/>
        <v>0.24129999999999999</v>
      </c>
      <c r="Z23">
        <v>9.4</v>
      </c>
      <c r="AB23">
        <f t="shared" si="17"/>
        <v>21.5</v>
      </c>
      <c r="AC23">
        <f t="shared" si="10"/>
        <v>9.5</v>
      </c>
      <c r="AD23">
        <f t="shared" si="11"/>
        <v>0.24129999999999999</v>
      </c>
      <c r="AE23">
        <v>9.4</v>
      </c>
    </row>
    <row r="24" spans="1:31" x14ac:dyDescent="0.5">
      <c r="A24">
        <f t="shared" si="12"/>
        <v>11</v>
      </c>
      <c r="B24">
        <f t="shared" si="0"/>
        <v>5</v>
      </c>
      <c r="C24">
        <f t="shared" si="1"/>
        <v>0.127</v>
      </c>
      <c r="D24">
        <v>9.8000000000000007</v>
      </c>
      <c r="F24">
        <f t="shared" si="13"/>
        <v>11</v>
      </c>
      <c r="G24">
        <f t="shared" si="2"/>
        <v>5</v>
      </c>
      <c r="H24">
        <f t="shared" si="3"/>
        <v>0.127</v>
      </c>
      <c r="I24">
        <v>8.6</v>
      </c>
      <c r="K24">
        <f t="shared" si="14"/>
        <v>11</v>
      </c>
      <c r="L24">
        <f t="shared" si="4"/>
        <v>5</v>
      </c>
      <c r="M24">
        <f t="shared" si="5"/>
        <v>0.127</v>
      </c>
      <c r="N24">
        <v>8.6</v>
      </c>
      <c r="R24">
        <f t="shared" si="15"/>
        <v>22</v>
      </c>
      <c r="S24">
        <f t="shared" si="6"/>
        <v>10</v>
      </c>
      <c r="T24">
        <f t="shared" si="7"/>
        <v>0.254</v>
      </c>
      <c r="U24">
        <v>10.6</v>
      </c>
      <c r="W24">
        <f t="shared" si="16"/>
        <v>22</v>
      </c>
      <c r="X24">
        <f t="shared" si="8"/>
        <v>10</v>
      </c>
      <c r="Y24">
        <f t="shared" si="9"/>
        <v>0.254</v>
      </c>
      <c r="Z24">
        <v>9.8000000000000007</v>
      </c>
      <c r="AB24">
        <f t="shared" si="17"/>
        <v>22</v>
      </c>
      <c r="AC24">
        <f t="shared" si="10"/>
        <v>10</v>
      </c>
      <c r="AD24">
        <f t="shared" si="11"/>
        <v>0.254</v>
      </c>
      <c r="AE24">
        <v>9.8000000000000007</v>
      </c>
    </row>
    <row r="25" spans="1:31" x14ac:dyDescent="0.5">
      <c r="A25">
        <f t="shared" si="12"/>
        <v>11.25</v>
      </c>
      <c r="B25">
        <f t="shared" si="0"/>
        <v>5.25</v>
      </c>
      <c r="C25">
        <f t="shared" si="1"/>
        <v>0.13335</v>
      </c>
      <c r="D25">
        <v>10.199999999999999</v>
      </c>
      <c r="F25">
        <f t="shared" si="13"/>
        <v>11.25</v>
      </c>
      <c r="G25">
        <f t="shared" si="2"/>
        <v>5.25</v>
      </c>
      <c r="H25">
        <f t="shared" si="3"/>
        <v>0.13335</v>
      </c>
      <c r="I25">
        <v>8.8000000000000007</v>
      </c>
      <c r="K25">
        <f t="shared" si="14"/>
        <v>11.25</v>
      </c>
      <c r="L25">
        <f t="shared" si="4"/>
        <v>5.25</v>
      </c>
      <c r="M25">
        <f t="shared" si="5"/>
        <v>0.13335</v>
      </c>
      <c r="N25">
        <v>8.8000000000000007</v>
      </c>
      <c r="R25">
        <f t="shared" si="15"/>
        <v>22.5</v>
      </c>
      <c r="S25">
        <f t="shared" si="6"/>
        <v>10.5</v>
      </c>
      <c r="T25">
        <f t="shared" si="7"/>
        <v>0.26669999999999999</v>
      </c>
      <c r="U25">
        <v>11</v>
      </c>
      <c r="W25">
        <f t="shared" si="16"/>
        <v>22.5</v>
      </c>
      <c r="X25">
        <f t="shared" si="8"/>
        <v>10.5</v>
      </c>
      <c r="Y25">
        <f t="shared" si="9"/>
        <v>0.26669999999999999</v>
      </c>
      <c r="Z25">
        <v>10</v>
      </c>
      <c r="AB25">
        <f t="shared" si="17"/>
        <v>22.5</v>
      </c>
      <c r="AC25">
        <f t="shared" si="10"/>
        <v>10.5</v>
      </c>
      <c r="AD25">
        <f t="shared" si="11"/>
        <v>0.26669999999999999</v>
      </c>
      <c r="AE25">
        <v>10</v>
      </c>
    </row>
    <row r="26" spans="1:31" x14ac:dyDescent="0.5">
      <c r="A26">
        <f t="shared" si="12"/>
        <v>11.5</v>
      </c>
      <c r="B26">
        <f t="shared" si="0"/>
        <v>5.5</v>
      </c>
      <c r="C26">
        <f t="shared" si="1"/>
        <v>0.13969999999999999</v>
      </c>
      <c r="D26">
        <v>10.4</v>
      </c>
      <c r="F26">
        <f t="shared" si="13"/>
        <v>11.5</v>
      </c>
      <c r="G26">
        <f t="shared" si="2"/>
        <v>5.5</v>
      </c>
      <c r="H26">
        <f t="shared" si="3"/>
        <v>0.13969999999999999</v>
      </c>
      <c r="I26">
        <v>9.4</v>
      </c>
      <c r="K26">
        <f t="shared" si="14"/>
        <v>11.5</v>
      </c>
      <c r="L26">
        <f t="shared" si="4"/>
        <v>5.5</v>
      </c>
      <c r="M26">
        <f t="shared" si="5"/>
        <v>0.13969999999999999</v>
      </c>
      <c r="N26">
        <v>9.1999999999999993</v>
      </c>
      <c r="R26">
        <f t="shared" si="15"/>
        <v>23</v>
      </c>
      <c r="S26">
        <f t="shared" si="6"/>
        <v>11</v>
      </c>
      <c r="T26">
        <f t="shared" si="7"/>
        <v>0.27939999999999998</v>
      </c>
      <c r="U26">
        <v>11.2</v>
      </c>
      <c r="W26">
        <f t="shared" si="16"/>
        <v>23</v>
      </c>
      <c r="X26">
        <f t="shared" si="8"/>
        <v>11</v>
      </c>
      <c r="Y26">
        <f t="shared" si="9"/>
        <v>0.27939999999999998</v>
      </c>
      <c r="Z26">
        <v>10.4</v>
      </c>
      <c r="AB26">
        <f t="shared" si="17"/>
        <v>23</v>
      </c>
      <c r="AC26">
        <f t="shared" si="10"/>
        <v>11</v>
      </c>
      <c r="AD26">
        <f t="shared" si="11"/>
        <v>0.27939999999999998</v>
      </c>
      <c r="AE26">
        <v>10.4</v>
      </c>
    </row>
    <row r="27" spans="1:31" x14ac:dyDescent="0.5">
      <c r="A27">
        <f t="shared" si="12"/>
        <v>11.75</v>
      </c>
      <c r="B27">
        <f t="shared" si="0"/>
        <v>5.75</v>
      </c>
      <c r="C27">
        <f t="shared" si="1"/>
        <v>0.14604999999999999</v>
      </c>
      <c r="D27">
        <v>10.8</v>
      </c>
      <c r="F27">
        <f t="shared" si="13"/>
        <v>11.75</v>
      </c>
      <c r="G27">
        <f t="shared" si="2"/>
        <v>5.75</v>
      </c>
      <c r="H27">
        <f t="shared" si="3"/>
        <v>0.14604999999999999</v>
      </c>
      <c r="I27">
        <v>9.6</v>
      </c>
      <c r="K27">
        <f t="shared" si="14"/>
        <v>11.75</v>
      </c>
      <c r="L27">
        <f t="shared" si="4"/>
        <v>5.75</v>
      </c>
      <c r="M27">
        <f t="shared" si="5"/>
        <v>0.14604999999999999</v>
      </c>
      <c r="N27">
        <v>9.6</v>
      </c>
      <c r="R27">
        <f t="shared" si="15"/>
        <v>23.5</v>
      </c>
      <c r="S27">
        <f t="shared" si="6"/>
        <v>11.5</v>
      </c>
      <c r="T27">
        <f t="shared" si="7"/>
        <v>0.29209999999999997</v>
      </c>
      <c r="U27">
        <v>11.4</v>
      </c>
      <c r="W27">
        <f t="shared" si="16"/>
        <v>23.5</v>
      </c>
      <c r="X27">
        <f t="shared" si="8"/>
        <v>11.5</v>
      </c>
      <c r="Y27">
        <f t="shared" si="9"/>
        <v>0.29209999999999997</v>
      </c>
      <c r="Z27">
        <v>10.6</v>
      </c>
      <c r="AB27">
        <f t="shared" si="17"/>
        <v>23.5</v>
      </c>
      <c r="AC27">
        <f t="shared" si="10"/>
        <v>11.5</v>
      </c>
      <c r="AD27">
        <f t="shared" si="11"/>
        <v>0.29209999999999997</v>
      </c>
      <c r="AE27">
        <v>10.4</v>
      </c>
    </row>
    <row r="28" spans="1:31" x14ac:dyDescent="0.5">
      <c r="A28">
        <f t="shared" si="12"/>
        <v>12</v>
      </c>
      <c r="B28">
        <f t="shared" si="0"/>
        <v>6</v>
      </c>
      <c r="C28">
        <f t="shared" si="1"/>
        <v>0.15239999999999998</v>
      </c>
      <c r="D28">
        <v>10.8</v>
      </c>
      <c r="F28">
        <f t="shared" si="13"/>
        <v>12</v>
      </c>
      <c r="G28">
        <f t="shared" si="2"/>
        <v>6</v>
      </c>
      <c r="H28">
        <f t="shared" si="3"/>
        <v>0.15239999999999998</v>
      </c>
      <c r="I28">
        <v>9.8000000000000007</v>
      </c>
      <c r="K28">
        <f t="shared" si="14"/>
        <v>12</v>
      </c>
      <c r="L28">
        <f t="shared" si="4"/>
        <v>6</v>
      </c>
      <c r="M28">
        <f t="shared" si="5"/>
        <v>0.15239999999999998</v>
      </c>
      <c r="N28">
        <v>9.8000000000000007</v>
      </c>
      <c r="R28">
        <f t="shared" si="15"/>
        <v>24</v>
      </c>
      <c r="S28">
        <f t="shared" si="6"/>
        <v>12</v>
      </c>
      <c r="T28">
        <f t="shared" si="7"/>
        <v>0.30479999999999996</v>
      </c>
      <c r="U28">
        <v>11.8</v>
      </c>
      <c r="W28">
        <f t="shared" si="16"/>
        <v>24</v>
      </c>
      <c r="X28">
        <f t="shared" si="8"/>
        <v>12</v>
      </c>
      <c r="Y28">
        <f t="shared" si="9"/>
        <v>0.30479999999999996</v>
      </c>
      <c r="Z28">
        <v>11</v>
      </c>
      <c r="AB28">
        <f t="shared" si="17"/>
        <v>24</v>
      </c>
      <c r="AC28">
        <f t="shared" si="10"/>
        <v>12</v>
      </c>
      <c r="AD28">
        <f t="shared" si="11"/>
        <v>0.30479999999999996</v>
      </c>
      <c r="AE28">
        <v>10.8</v>
      </c>
    </row>
    <row r="29" spans="1:31" x14ac:dyDescent="0.5">
      <c r="A29">
        <f t="shared" si="12"/>
        <v>12.25</v>
      </c>
      <c r="B29">
        <f t="shared" si="0"/>
        <v>6.25</v>
      </c>
      <c r="C29">
        <f t="shared" si="1"/>
        <v>0.15875</v>
      </c>
      <c r="D29">
        <v>11.4</v>
      </c>
      <c r="F29">
        <f t="shared" si="13"/>
        <v>12.25</v>
      </c>
      <c r="G29">
        <f t="shared" si="2"/>
        <v>6.25</v>
      </c>
      <c r="H29">
        <f t="shared" si="3"/>
        <v>0.15875</v>
      </c>
      <c r="I29">
        <v>10.199999999999999</v>
      </c>
      <c r="K29">
        <f t="shared" si="14"/>
        <v>12.25</v>
      </c>
      <c r="L29">
        <f t="shared" si="4"/>
        <v>6.25</v>
      </c>
      <c r="M29">
        <f t="shared" si="5"/>
        <v>0.15875</v>
      </c>
      <c r="N29">
        <v>9.8000000000000007</v>
      </c>
      <c r="R29">
        <f t="shared" si="15"/>
        <v>24.5</v>
      </c>
      <c r="S29">
        <f t="shared" si="6"/>
        <v>12.5</v>
      </c>
      <c r="T29">
        <f t="shared" si="7"/>
        <v>0.3175</v>
      </c>
      <c r="U29">
        <v>12</v>
      </c>
      <c r="W29">
        <f t="shared" si="16"/>
        <v>24.5</v>
      </c>
      <c r="X29">
        <f t="shared" si="8"/>
        <v>12.5</v>
      </c>
      <c r="Y29">
        <f t="shared" si="9"/>
        <v>0.3175</v>
      </c>
      <c r="Z29">
        <v>11.2</v>
      </c>
      <c r="AB29">
        <f t="shared" si="17"/>
        <v>24.5</v>
      </c>
      <c r="AC29">
        <f t="shared" si="10"/>
        <v>12.5</v>
      </c>
      <c r="AD29">
        <f t="shared" si="11"/>
        <v>0.3175</v>
      </c>
      <c r="AE29">
        <v>11.2</v>
      </c>
    </row>
    <row r="30" spans="1:31" x14ac:dyDescent="0.5">
      <c r="A30">
        <f t="shared" si="12"/>
        <v>12.5</v>
      </c>
      <c r="B30">
        <f t="shared" si="0"/>
        <v>6.5</v>
      </c>
      <c r="C30">
        <f t="shared" si="1"/>
        <v>0.1651</v>
      </c>
      <c r="D30">
        <v>11.6</v>
      </c>
      <c r="F30">
        <f t="shared" si="13"/>
        <v>12.5</v>
      </c>
      <c r="G30">
        <f t="shared" si="2"/>
        <v>6.5</v>
      </c>
      <c r="H30">
        <f t="shared" si="3"/>
        <v>0.1651</v>
      </c>
      <c r="I30">
        <v>10.4</v>
      </c>
      <c r="K30">
        <f t="shared" si="14"/>
        <v>12.5</v>
      </c>
      <c r="L30">
        <f t="shared" si="4"/>
        <v>6.5</v>
      </c>
      <c r="M30">
        <f t="shared" si="5"/>
        <v>0.1651</v>
      </c>
      <c r="N30">
        <v>10.199999999999999</v>
      </c>
      <c r="R30">
        <f t="shared" si="15"/>
        <v>25</v>
      </c>
      <c r="S30">
        <f t="shared" si="6"/>
        <v>13</v>
      </c>
      <c r="T30">
        <f t="shared" si="7"/>
        <v>0.33019999999999999</v>
      </c>
      <c r="U30">
        <v>12.4</v>
      </c>
      <c r="W30">
        <f t="shared" si="16"/>
        <v>25</v>
      </c>
      <c r="X30">
        <f t="shared" si="8"/>
        <v>13</v>
      </c>
      <c r="Y30">
        <f t="shared" si="9"/>
        <v>0.33019999999999999</v>
      </c>
      <c r="Z30">
        <v>11.6</v>
      </c>
      <c r="AB30">
        <f t="shared" si="17"/>
        <v>25</v>
      </c>
      <c r="AC30">
        <f t="shared" si="10"/>
        <v>13</v>
      </c>
      <c r="AD30">
        <f t="shared" si="11"/>
        <v>0.33019999999999999</v>
      </c>
      <c r="AE30">
        <v>11.4</v>
      </c>
    </row>
    <row r="31" spans="1:31" x14ac:dyDescent="0.5">
      <c r="A31">
        <f t="shared" si="12"/>
        <v>12.75</v>
      </c>
      <c r="B31">
        <f t="shared" si="0"/>
        <v>6.75</v>
      </c>
      <c r="C31">
        <f t="shared" si="1"/>
        <v>0.17144999999999999</v>
      </c>
      <c r="D31">
        <v>11.8</v>
      </c>
      <c r="F31">
        <f t="shared" si="13"/>
        <v>12.75</v>
      </c>
      <c r="G31">
        <f t="shared" si="2"/>
        <v>6.75</v>
      </c>
      <c r="H31">
        <f t="shared" si="3"/>
        <v>0.17144999999999999</v>
      </c>
      <c r="I31">
        <v>10.6</v>
      </c>
      <c r="K31">
        <f t="shared" si="14"/>
        <v>12.75</v>
      </c>
      <c r="L31">
        <f t="shared" si="4"/>
        <v>6.75</v>
      </c>
      <c r="M31">
        <f t="shared" si="5"/>
        <v>0.17144999999999999</v>
      </c>
      <c r="N31">
        <v>10.6</v>
      </c>
      <c r="R31">
        <f t="shared" si="15"/>
        <v>25.5</v>
      </c>
      <c r="S31">
        <f t="shared" si="6"/>
        <v>13.5</v>
      </c>
      <c r="T31">
        <f t="shared" si="7"/>
        <v>0.34289999999999998</v>
      </c>
      <c r="U31">
        <v>12.6</v>
      </c>
      <c r="W31">
        <f t="shared" si="16"/>
        <v>25.5</v>
      </c>
      <c r="X31">
        <f t="shared" si="8"/>
        <v>13.5</v>
      </c>
      <c r="Y31">
        <f t="shared" si="9"/>
        <v>0.34289999999999998</v>
      </c>
      <c r="Z31">
        <v>11.8</v>
      </c>
      <c r="AB31">
        <f t="shared" si="17"/>
        <v>25.5</v>
      </c>
      <c r="AC31">
        <f t="shared" si="10"/>
        <v>13.5</v>
      </c>
      <c r="AD31">
        <f t="shared" si="11"/>
        <v>0.34289999999999998</v>
      </c>
      <c r="AE31">
        <v>11.6</v>
      </c>
    </row>
    <row r="32" spans="1:31" x14ac:dyDescent="0.5">
      <c r="A32">
        <f t="shared" si="12"/>
        <v>13</v>
      </c>
      <c r="B32">
        <f t="shared" si="0"/>
        <v>7</v>
      </c>
      <c r="C32">
        <f t="shared" si="1"/>
        <v>0.17779999999999999</v>
      </c>
      <c r="D32">
        <v>12.2</v>
      </c>
      <c r="F32">
        <f t="shared" si="13"/>
        <v>13</v>
      </c>
      <c r="G32">
        <f t="shared" si="2"/>
        <v>7</v>
      </c>
      <c r="H32">
        <f t="shared" si="3"/>
        <v>0.17779999999999999</v>
      </c>
      <c r="I32">
        <v>11</v>
      </c>
      <c r="K32">
        <f t="shared" si="14"/>
        <v>13</v>
      </c>
      <c r="L32">
        <f t="shared" si="4"/>
        <v>7</v>
      </c>
      <c r="M32">
        <f t="shared" si="5"/>
        <v>0.17779999999999999</v>
      </c>
      <c r="N32">
        <v>10.8</v>
      </c>
      <c r="R32">
        <f t="shared" si="15"/>
        <v>26</v>
      </c>
      <c r="S32">
        <f t="shared" si="6"/>
        <v>14</v>
      </c>
      <c r="T32">
        <f t="shared" si="7"/>
        <v>0.35559999999999997</v>
      </c>
      <c r="U32">
        <v>13</v>
      </c>
      <c r="W32">
        <f t="shared" si="16"/>
        <v>26</v>
      </c>
      <c r="X32">
        <f t="shared" si="8"/>
        <v>14</v>
      </c>
      <c r="Y32">
        <f t="shared" si="9"/>
        <v>0.35559999999999997</v>
      </c>
      <c r="Z32">
        <v>12</v>
      </c>
      <c r="AB32">
        <f t="shared" si="17"/>
        <v>26</v>
      </c>
      <c r="AC32">
        <f t="shared" si="10"/>
        <v>14</v>
      </c>
      <c r="AD32">
        <f t="shared" si="11"/>
        <v>0.35559999999999997</v>
      </c>
      <c r="AE32">
        <v>12</v>
      </c>
    </row>
    <row r="33" spans="1:31" x14ac:dyDescent="0.5">
      <c r="A33">
        <f t="shared" si="12"/>
        <v>13.25</v>
      </c>
      <c r="B33">
        <f t="shared" si="0"/>
        <v>7.25</v>
      </c>
      <c r="C33">
        <f t="shared" si="1"/>
        <v>0.18414999999999998</v>
      </c>
      <c r="D33">
        <v>12.4</v>
      </c>
      <c r="F33">
        <f t="shared" si="13"/>
        <v>13.25</v>
      </c>
      <c r="G33">
        <f t="shared" si="2"/>
        <v>7.25</v>
      </c>
      <c r="H33">
        <f t="shared" si="3"/>
        <v>0.18414999999999998</v>
      </c>
      <c r="I33">
        <v>11.2</v>
      </c>
      <c r="K33">
        <f t="shared" si="14"/>
        <v>13.25</v>
      </c>
      <c r="L33">
        <f t="shared" si="4"/>
        <v>7.25</v>
      </c>
      <c r="M33">
        <f t="shared" si="5"/>
        <v>0.18414999999999998</v>
      </c>
      <c r="N33">
        <v>11</v>
      </c>
      <c r="R33">
        <f t="shared" si="15"/>
        <v>26.5</v>
      </c>
      <c r="S33">
        <f t="shared" si="6"/>
        <v>14.5</v>
      </c>
      <c r="T33">
        <f t="shared" si="7"/>
        <v>0.36829999999999996</v>
      </c>
      <c r="U33">
        <v>13.2</v>
      </c>
      <c r="W33">
        <f t="shared" si="16"/>
        <v>26.5</v>
      </c>
      <c r="X33">
        <f t="shared" si="8"/>
        <v>14.5</v>
      </c>
      <c r="Y33">
        <f t="shared" si="9"/>
        <v>0.36829999999999996</v>
      </c>
      <c r="Z33">
        <v>12.4</v>
      </c>
      <c r="AB33">
        <f t="shared" si="17"/>
        <v>26.5</v>
      </c>
      <c r="AC33">
        <f t="shared" si="10"/>
        <v>14.5</v>
      </c>
      <c r="AD33">
        <f t="shared" si="11"/>
        <v>0.36829999999999996</v>
      </c>
      <c r="AE33">
        <v>12.2</v>
      </c>
    </row>
    <row r="34" spans="1:31" x14ac:dyDescent="0.5">
      <c r="A34">
        <f t="shared" si="12"/>
        <v>13.5</v>
      </c>
      <c r="B34">
        <f t="shared" si="0"/>
        <v>7.5</v>
      </c>
      <c r="C34">
        <f t="shared" si="1"/>
        <v>0.1905</v>
      </c>
      <c r="D34">
        <v>12.8</v>
      </c>
      <c r="F34">
        <f t="shared" si="13"/>
        <v>13.5</v>
      </c>
      <c r="G34">
        <f t="shared" si="2"/>
        <v>7.5</v>
      </c>
      <c r="H34">
        <f t="shared" si="3"/>
        <v>0.1905</v>
      </c>
      <c r="I34">
        <v>11.4</v>
      </c>
      <c r="K34">
        <f t="shared" si="14"/>
        <v>13.5</v>
      </c>
      <c r="L34">
        <f t="shared" si="4"/>
        <v>7.5</v>
      </c>
      <c r="M34">
        <f t="shared" si="5"/>
        <v>0.1905</v>
      </c>
      <c r="N34">
        <v>11.2</v>
      </c>
      <c r="R34">
        <f t="shared" si="15"/>
        <v>27</v>
      </c>
      <c r="S34">
        <f t="shared" si="6"/>
        <v>15</v>
      </c>
      <c r="T34">
        <f t="shared" si="7"/>
        <v>0.38100000000000001</v>
      </c>
      <c r="U34">
        <v>13.6</v>
      </c>
      <c r="W34">
        <f t="shared" si="16"/>
        <v>27</v>
      </c>
      <c r="X34">
        <f t="shared" si="8"/>
        <v>15</v>
      </c>
      <c r="Y34">
        <f t="shared" si="9"/>
        <v>0.38100000000000001</v>
      </c>
      <c r="Z34">
        <v>12.6</v>
      </c>
      <c r="AB34">
        <f t="shared" si="17"/>
        <v>27</v>
      </c>
      <c r="AC34">
        <f t="shared" si="10"/>
        <v>15</v>
      </c>
      <c r="AD34">
        <f t="shared" si="11"/>
        <v>0.38100000000000001</v>
      </c>
      <c r="AE34">
        <v>12.6</v>
      </c>
    </row>
    <row r="35" spans="1:31" x14ac:dyDescent="0.5">
      <c r="A35">
        <f>A34+0.25</f>
        <v>13.75</v>
      </c>
      <c r="B35">
        <f t="shared" si="0"/>
        <v>7.75</v>
      </c>
      <c r="C35">
        <f t="shared" si="1"/>
        <v>0.19685</v>
      </c>
      <c r="D35">
        <v>13</v>
      </c>
      <c r="F35">
        <f>F34+0.25</f>
        <v>13.75</v>
      </c>
      <c r="G35">
        <f t="shared" si="2"/>
        <v>7.75</v>
      </c>
      <c r="H35">
        <f t="shared" si="3"/>
        <v>0.19685</v>
      </c>
      <c r="I35">
        <v>11.6</v>
      </c>
      <c r="K35">
        <f>K34+0.25</f>
        <v>13.75</v>
      </c>
      <c r="L35">
        <f t="shared" si="4"/>
        <v>7.75</v>
      </c>
      <c r="M35">
        <f t="shared" si="5"/>
        <v>0.19685</v>
      </c>
      <c r="N35">
        <v>11.6</v>
      </c>
      <c r="R35">
        <f t="shared" si="15"/>
        <v>27.5</v>
      </c>
      <c r="S35">
        <f t="shared" si="6"/>
        <v>15.5</v>
      </c>
      <c r="T35">
        <f t="shared" si="7"/>
        <v>0.39369999999999999</v>
      </c>
      <c r="U35">
        <v>13.8</v>
      </c>
      <c r="W35">
        <f t="shared" si="16"/>
        <v>27.5</v>
      </c>
      <c r="X35">
        <f t="shared" si="8"/>
        <v>15.5</v>
      </c>
      <c r="Y35">
        <f t="shared" si="9"/>
        <v>0.39369999999999999</v>
      </c>
      <c r="Z35">
        <v>13</v>
      </c>
      <c r="AB35">
        <f t="shared" si="17"/>
        <v>27.5</v>
      </c>
      <c r="AC35">
        <f t="shared" si="10"/>
        <v>15.5</v>
      </c>
      <c r="AD35">
        <f t="shared" si="11"/>
        <v>0.39369999999999999</v>
      </c>
      <c r="AE35">
        <v>12.8</v>
      </c>
    </row>
    <row r="36" spans="1:31" x14ac:dyDescent="0.5">
      <c r="A36">
        <f t="shared" si="12"/>
        <v>14</v>
      </c>
      <c r="B36">
        <f t="shared" si="0"/>
        <v>8</v>
      </c>
      <c r="C36">
        <f t="shared" si="1"/>
        <v>0.20319999999999999</v>
      </c>
      <c r="D36">
        <v>13.2</v>
      </c>
      <c r="F36">
        <f t="shared" si="13"/>
        <v>14</v>
      </c>
      <c r="G36">
        <f t="shared" si="2"/>
        <v>8</v>
      </c>
      <c r="H36">
        <f t="shared" si="3"/>
        <v>0.20319999999999999</v>
      </c>
      <c r="I36">
        <v>12</v>
      </c>
      <c r="K36">
        <f t="shared" si="14"/>
        <v>14</v>
      </c>
      <c r="L36">
        <f t="shared" si="4"/>
        <v>8</v>
      </c>
      <c r="M36">
        <f t="shared" si="5"/>
        <v>0.20319999999999999</v>
      </c>
      <c r="N36">
        <v>12</v>
      </c>
      <c r="R36">
        <f t="shared" si="15"/>
        <v>28</v>
      </c>
      <c r="S36">
        <f t="shared" si="6"/>
        <v>16</v>
      </c>
      <c r="T36">
        <f t="shared" si="7"/>
        <v>0.40639999999999998</v>
      </c>
      <c r="U36">
        <v>14.2</v>
      </c>
      <c r="W36">
        <f t="shared" si="16"/>
        <v>28</v>
      </c>
      <c r="X36">
        <f t="shared" si="8"/>
        <v>16</v>
      </c>
      <c r="Y36">
        <f t="shared" si="9"/>
        <v>0.40639999999999998</v>
      </c>
      <c r="Z36">
        <v>13.2</v>
      </c>
      <c r="AB36">
        <f t="shared" si="17"/>
        <v>28</v>
      </c>
      <c r="AC36">
        <f t="shared" si="10"/>
        <v>16</v>
      </c>
      <c r="AD36">
        <f t="shared" si="11"/>
        <v>0.40639999999999998</v>
      </c>
      <c r="AE36">
        <v>13.2</v>
      </c>
    </row>
    <row r="37" spans="1:31" x14ac:dyDescent="0.5">
      <c r="A37">
        <f t="shared" si="12"/>
        <v>14.25</v>
      </c>
      <c r="B37">
        <f t="shared" si="0"/>
        <v>8.25</v>
      </c>
      <c r="C37">
        <f t="shared" si="1"/>
        <v>0.20954999999999999</v>
      </c>
      <c r="D37">
        <v>13.6</v>
      </c>
      <c r="F37">
        <f t="shared" si="13"/>
        <v>14.25</v>
      </c>
      <c r="G37">
        <f t="shared" si="2"/>
        <v>8.25</v>
      </c>
      <c r="H37">
        <f t="shared" si="3"/>
        <v>0.20954999999999999</v>
      </c>
      <c r="I37">
        <v>12.4</v>
      </c>
      <c r="K37">
        <f t="shared" si="14"/>
        <v>14.25</v>
      </c>
      <c r="L37">
        <f t="shared" si="4"/>
        <v>8.25</v>
      </c>
      <c r="M37">
        <f t="shared" si="5"/>
        <v>0.20954999999999999</v>
      </c>
      <c r="N37">
        <v>12.2</v>
      </c>
      <c r="R37">
        <f t="shared" si="15"/>
        <v>28.5</v>
      </c>
      <c r="S37">
        <f t="shared" si="6"/>
        <v>16.5</v>
      </c>
      <c r="T37">
        <f t="shared" si="7"/>
        <v>0.41909999999999997</v>
      </c>
      <c r="U37">
        <v>14.4</v>
      </c>
      <c r="W37">
        <f t="shared" si="16"/>
        <v>28.5</v>
      </c>
      <c r="X37">
        <f t="shared" si="8"/>
        <v>16.5</v>
      </c>
      <c r="Y37">
        <f t="shared" si="9"/>
        <v>0.41909999999999997</v>
      </c>
      <c r="Z37">
        <v>13.4</v>
      </c>
      <c r="AB37">
        <f t="shared" si="17"/>
        <v>28.5</v>
      </c>
      <c r="AC37">
        <f t="shared" si="10"/>
        <v>16.5</v>
      </c>
      <c r="AD37">
        <f t="shared" si="11"/>
        <v>0.41909999999999997</v>
      </c>
      <c r="AE37">
        <v>13.4</v>
      </c>
    </row>
    <row r="38" spans="1:31" x14ac:dyDescent="0.5">
      <c r="A38">
        <f t="shared" si="12"/>
        <v>14.5</v>
      </c>
      <c r="B38">
        <f t="shared" si="0"/>
        <v>8.5</v>
      </c>
      <c r="C38">
        <f t="shared" si="1"/>
        <v>0.21589999999999998</v>
      </c>
      <c r="D38">
        <v>14</v>
      </c>
      <c r="F38">
        <f t="shared" si="13"/>
        <v>14.5</v>
      </c>
      <c r="G38">
        <f t="shared" si="2"/>
        <v>8.5</v>
      </c>
      <c r="H38">
        <f t="shared" si="3"/>
        <v>0.21589999999999998</v>
      </c>
      <c r="I38">
        <v>12.8</v>
      </c>
      <c r="K38">
        <f t="shared" si="14"/>
        <v>14.5</v>
      </c>
      <c r="L38">
        <f t="shared" si="4"/>
        <v>8.5</v>
      </c>
      <c r="M38">
        <f t="shared" si="5"/>
        <v>0.21589999999999998</v>
      </c>
      <c r="N38">
        <v>12.6</v>
      </c>
      <c r="R38">
        <f t="shared" si="15"/>
        <v>29</v>
      </c>
      <c r="S38">
        <f t="shared" si="6"/>
        <v>17</v>
      </c>
      <c r="T38">
        <f t="shared" si="7"/>
        <v>0.43179999999999996</v>
      </c>
      <c r="U38">
        <v>14.8</v>
      </c>
      <c r="W38">
        <f t="shared" si="16"/>
        <v>29</v>
      </c>
      <c r="X38">
        <f t="shared" si="8"/>
        <v>17</v>
      </c>
      <c r="Y38">
        <f t="shared" si="9"/>
        <v>0.43179999999999996</v>
      </c>
      <c r="Z38">
        <v>13.8</v>
      </c>
      <c r="AB38">
        <f t="shared" si="17"/>
        <v>29</v>
      </c>
      <c r="AC38">
        <f t="shared" si="10"/>
        <v>17</v>
      </c>
      <c r="AD38">
        <f t="shared" si="11"/>
        <v>0.43179999999999996</v>
      </c>
      <c r="AE38">
        <v>13.8</v>
      </c>
    </row>
    <row r="39" spans="1:31" x14ac:dyDescent="0.5">
      <c r="A39">
        <f t="shared" si="12"/>
        <v>14.75</v>
      </c>
      <c r="B39">
        <f t="shared" si="0"/>
        <v>8.75</v>
      </c>
      <c r="C39">
        <f t="shared" si="1"/>
        <v>0.22225</v>
      </c>
      <c r="D39">
        <v>14.2</v>
      </c>
      <c r="F39">
        <f t="shared" si="13"/>
        <v>14.75</v>
      </c>
      <c r="G39">
        <f t="shared" si="2"/>
        <v>8.75</v>
      </c>
      <c r="H39">
        <f t="shared" si="3"/>
        <v>0.22225</v>
      </c>
      <c r="I39">
        <v>13</v>
      </c>
      <c r="K39">
        <f t="shared" si="14"/>
        <v>14.75</v>
      </c>
      <c r="L39">
        <f t="shared" si="4"/>
        <v>8.75</v>
      </c>
      <c r="M39">
        <f t="shared" si="5"/>
        <v>0.22225</v>
      </c>
      <c r="N39">
        <v>12.8</v>
      </c>
      <c r="R39">
        <f t="shared" si="15"/>
        <v>29.5</v>
      </c>
      <c r="S39">
        <f t="shared" si="6"/>
        <v>17.5</v>
      </c>
      <c r="T39">
        <f t="shared" si="7"/>
        <v>0.44450000000000001</v>
      </c>
      <c r="U39">
        <v>15</v>
      </c>
      <c r="W39">
        <f t="shared" si="16"/>
        <v>29.5</v>
      </c>
      <c r="X39">
        <f t="shared" si="8"/>
        <v>17.5</v>
      </c>
      <c r="Y39">
        <f t="shared" si="9"/>
        <v>0.44450000000000001</v>
      </c>
      <c r="Z39">
        <v>14</v>
      </c>
      <c r="AB39">
        <f t="shared" si="17"/>
        <v>29.5</v>
      </c>
      <c r="AC39">
        <f t="shared" si="10"/>
        <v>17.5</v>
      </c>
      <c r="AD39">
        <f t="shared" si="11"/>
        <v>0.44450000000000001</v>
      </c>
      <c r="AE39">
        <v>14.2</v>
      </c>
    </row>
    <row r="40" spans="1:31" x14ac:dyDescent="0.5">
      <c r="A40">
        <f t="shared" si="12"/>
        <v>15</v>
      </c>
      <c r="B40">
        <f t="shared" si="0"/>
        <v>9</v>
      </c>
      <c r="C40">
        <f t="shared" si="1"/>
        <v>0.2286</v>
      </c>
      <c r="D40">
        <v>14.6</v>
      </c>
      <c r="F40">
        <f t="shared" si="13"/>
        <v>15</v>
      </c>
      <c r="G40">
        <f t="shared" si="2"/>
        <v>9</v>
      </c>
      <c r="H40">
        <f t="shared" si="3"/>
        <v>0.2286</v>
      </c>
      <c r="I40">
        <v>13.2</v>
      </c>
      <c r="K40">
        <f t="shared" si="14"/>
        <v>15</v>
      </c>
      <c r="L40">
        <f t="shared" si="4"/>
        <v>9</v>
      </c>
      <c r="M40">
        <f t="shared" si="5"/>
        <v>0.2286</v>
      </c>
      <c r="N40">
        <v>13.2</v>
      </c>
      <c r="R40">
        <f t="shared" si="15"/>
        <v>30</v>
      </c>
      <c r="S40">
        <f t="shared" si="6"/>
        <v>18</v>
      </c>
      <c r="T40">
        <f t="shared" si="7"/>
        <v>0.4572</v>
      </c>
      <c r="U40">
        <v>15.4</v>
      </c>
      <c r="W40">
        <f t="shared" si="16"/>
        <v>30</v>
      </c>
      <c r="X40">
        <f t="shared" si="8"/>
        <v>18</v>
      </c>
      <c r="Y40">
        <f t="shared" si="9"/>
        <v>0.4572</v>
      </c>
      <c r="Z40">
        <v>14.4</v>
      </c>
      <c r="AB40">
        <f t="shared" si="17"/>
        <v>30</v>
      </c>
      <c r="AC40">
        <f t="shared" si="10"/>
        <v>18</v>
      </c>
      <c r="AD40">
        <f t="shared" si="11"/>
        <v>0.4572</v>
      </c>
      <c r="AE40">
        <v>14.4</v>
      </c>
    </row>
    <row r="41" spans="1:31" x14ac:dyDescent="0.5">
      <c r="A41">
        <f t="shared" si="12"/>
        <v>15.25</v>
      </c>
      <c r="B41">
        <f t="shared" si="0"/>
        <v>9.25</v>
      </c>
      <c r="C41">
        <f t="shared" si="1"/>
        <v>0.23494999999999999</v>
      </c>
      <c r="D41">
        <v>15</v>
      </c>
      <c r="F41">
        <f t="shared" si="13"/>
        <v>15.25</v>
      </c>
      <c r="G41">
        <f t="shared" si="2"/>
        <v>9.25</v>
      </c>
      <c r="H41">
        <f t="shared" si="3"/>
        <v>0.23494999999999999</v>
      </c>
      <c r="I41">
        <v>13.8</v>
      </c>
      <c r="K41">
        <f t="shared" si="14"/>
        <v>15.25</v>
      </c>
      <c r="L41">
        <f t="shared" si="4"/>
        <v>9.25</v>
      </c>
      <c r="M41">
        <f t="shared" si="5"/>
        <v>0.23494999999999999</v>
      </c>
      <c r="N41">
        <v>13.4</v>
      </c>
      <c r="R41">
        <f t="shared" si="15"/>
        <v>30.5</v>
      </c>
      <c r="S41">
        <f t="shared" si="6"/>
        <v>18.5</v>
      </c>
      <c r="T41">
        <f t="shared" si="7"/>
        <v>0.46989999999999998</v>
      </c>
      <c r="U41">
        <v>15.8</v>
      </c>
      <c r="W41">
        <f t="shared" si="16"/>
        <v>30.5</v>
      </c>
      <c r="X41">
        <f t="shared" si="8"/>
        <v>18.5</v>
      </c>
      <c r="Y41">
        <f t="shared" si="9"/>
        <v>0.46989999999999998</v>
      </c>
      <c r="Z41">
        <v>14.8</v>
      </c>
      <c r="AB41">
        <f t="shared" si="17"/>
        <v>30.5</v>
      </c>
      <c r="AC41">
        <f t="shared" si="10"/>
        <v>18.5</v>
      </c>
      <c r="AD41">
        <f t="shared" si="11"/>
        <v>0.46989999999999998</v>
      </c>
      <c r="AE41">
        <v>14.8</v>
      </c>
    </row>
    <row r="42" spans="1:31" x14ac:dyDescent="0.5">
      <c r="A42">
        <f t="shared" si="12"/>
        <v>15.5</v>
      </c>
      <c r="B42">
        <f t="shared" si="0"/>
        <v>9.5</v>
      </c>
      <c r="C42">
        <f t="shared" si="1"/>
        <v>0.24129999999999999</v>
      </c>
      <c r="D42">
        <v>15.2</v>
      </c>
      <c r="F42">
        <f t="shared" si="13"/>
        <v>15.5</v>
      </c>
      <c r="G42">
        <f t="shared" si="2"/>
        <v>9.5</v>
      </c>
      <c r="H42">
        <f t="shared" si="3"/>
        <v>0.24129999999999999</v>
      </c>
      <c r="I42">
        <v>14</v>
      </c>
      <c r="K42">
        <f t="shared" si="14"/>
        <v>15.5</v>
      </c>
      <c r="L42">
        <f t="shared" si="4"/>
        <v>9.5</v>
      </c>
      <c r="M42">
        <f t="shared" si="5"/>
        <v>0.24129999999999999</v>
      </c>
      <c r="N42">
        <v>13.8</v>
      </c>
      <c r="R42">
        <f t="shared" si="15"/>
        <v>31</v>
      </c>
      <c r="S42">
        <f t="shared" si="6"/>
        <v>19</v>
      </c>
      <c r="T42">
        <f t="shared" si="7"/>
        <v>0.48259999999999997</v>
      </c>
      <c r="U42">
        <v>16</v>
      </c>
      <c r="W42">
        <f t="shared" si="16"/>
        <v>31</v>
      </c>
      <c r="X42">
        <f t="shared" si="8"/>
        <v>19</v>
      </c>
      <c r="Y42">
        <f t="shared" si="9"/>
        <v>0.48259999999999997</v>
      </c>
      <c r="Z42">
        <v>15</v>
      </c>
      <c r="AB42">
        <f t="shared" si="17"/>
        <v>31</v>
      </c>
      <c r="AC42">
        <f t="shared" si="10"/>
        <v>19</v>
      </c>
      <c r="AD42">
        <f t="shared" si="11"/>
        <v>0.48259999999999997</v>
      </c>
      <c r="AE42">
        <v>15</v>
      </c>
    </row>
    <row r="43" spans="1:31" x14ac:dyDescent="0.5">
      <c r="A43">
        <f t="shared" si="12"/>
        <v>15.75</v>
      </c>
      <c r="B43">
        <f t="shared" si="0"/>
        <v>9.75</v>
      </c>
      <c r="C43">
        <f t="shared" si="1"/>
        <v>0.24764999999999998</v>
      </c>
      <c r="D43">
        <v>15.6</v>
      </c>
      <c r="F43">
        <f t="shared" si="13"/>
        <v>15.75</v>
      </c>
      <c r="G43">
        <f t="shared" si="2"/>
        <v>9.75</v>
      </c>
      <c r="H43">
        <f t="shared" si="3"/>
        <v>0.24764999999999998</v>
      </c>
      <c r="I43">
        <v>14.4</v>
      </c>
      <c r="K43">
        <f t="shared" si="14"/>
        <v>15.75</v>
      </c>
      <c r="L43">
        <f t="shared" si="4"/>
        <v>9.75</v>
      </c>
      <c r="M43">
        <f t="shared" si="5"/>
        <v>0.24764999999999998</v>
      </c>
      <c r="N43">
        <v>14</v>
      </c>
      <c r="R43">
        <f t="shared" si="15"/>
        <v>31.5</v>
      </c>
      <c r="S43">
        <f t="shared" si="6"/>
        <v>19.5</v>
      </c>
      <c r="T43">
        <f t="shared" si="7"/>
        <v>0.49529999999999996</v>
      </c>
      <c r="U43">
        <v>16.2</v>
      </c>
      <c r="W43">
        <f t="shared" si="16"/>
        <v>31.5</v>
      </c>
      <c r="X43">
        <f t="shared" si="8"/>
        <v>19.5</v>
      </c>
      <c r="Y43">
        <f t="shared" si="9"/>
        <v>0.49529999999999996</v>
      </c>
      <c r="Z43">
        <v>15.4</v>
      </c>
      <c r="AB43">
        <f t="shared" si="17"/>
        <v>31.5</v>
      </c>
      <c r="AC43">
        <f t="shared" si="10"/>
        <v>19.5</v>
      </c>
      <c r="AD43">
        <f t="shared" si="11"/>
        <v>0.49529999999999996</v>
      </c>
      <c r="AE43">
        <v>15.4</v>
      </c>
    </row>
    <row r="44" spans="1:31" x14ac:dyDescent="0.5">
      <c r="A44">
        <f t="shared" si="12"/>
        <v>16</v>
      </c>
      <c r="B44">
        <f t="shared" si="0"/>
        <v>10</v>
      </c>
      <c r="C44">
        <f t="shared" si="1"/>
        <v>0.254</v>
      </c>
      <c r="D44">
        <v>15.8</v>
      </c>
      <c r="F44">
        <f t="shared" si="13"/>
        <v>16</v>
      </c>
      <c r="G44">
        <f t="shared" si="2"/>
        <v>10</v>
      </c>
      <c r="H44">
        <f t="shared" si="3"/>
        <v>0.254</v>
      </c>
      <c r="I44">
        <v>14.8</v>
      </c>
      <c r="K44">
        <f t="shared" si="14"/>
        <v>16</v>
      </c>
      <c r="L44">
        <f t="shared" si="4"/>
        <v>10</v>
      </c>
      <c r="M44">
        <f t="shared" si="5"/>
        <v>0.254</v>
      </c>
      <c r="N44">
        <v>14.4</v>
      </c>
      <c r="R44">
        <f t="shared" si="15"/>
        <v>32</v>
      </c>
      <c r="S44">
        <f t="shared" si="6"/>
        <v>20</v>
      </c>
      <c r="T44">
        <f t="shared" si="7"/>
        <v>0.50800000000000001</v>
      </c>
      <c r="U44">
        <v>16.600000000000001</v>
      </c>
      <c r="W44">
        <f t="shared" si="16"/>
        <v>32</v>
      </c>
      <c r="X44">
        <f t="shared" si="8"/>
        <v>20</v>
      </c>
      <c r="Y44">
        <f t="shared" si="9"/>
        <v>0.50800000000000001</v>
      </c>
      <c r="Z44">
        <v>15.6</v>
      </c>
      <c r="AB44">
        <f t="shared" si="17"/>
        <v>32</v>
      </c>
      <c r="AC44">
        <f t="shared" si="10"/>
        <v>20</v>
      </c>
      <c r="AD44">
        <f t="shared" si="11"/>
        <v>0.50800000000000001</v>
      </c>
      <c r="AE44">
        <v>15.8</v>
      </c>
    </row>
    <row r="45" spans="1:31" x14ac:dyDescent="0.5">
      <c r="A45">
        <f t="shared" si="12"/>
        <v>16.25</v>
      </c>
      <c r="B45">
        <f t="shared" si="0"/>
        <v>10.25</v>
      </c>
      <c r="C45">
        <f t="shared" si="1"/>
        <v>0.26034999999999997</v>
      </c>
      <c r="D45">
        <v>16.2</v>
      </c>
      <c r="F45">
        <f t="shared" si="13"/>
        <v>16.25</v>
      </c>
      <c r="G45">
        <f t="shared" si="2"/>
        <v>10.25</v>
      </c>
      <c r="H45">
        <f t="shared" si="3"/>
        <v>0.26034999999999997</v>
      </c>
      <c r="I45">
        <v>15.2</v>
      </c>
      <c r="K45">
        <f t="shared" si="14"/>
        <v>16.25</v>
      </c>
      <c r="L45">
        <f t="shared" si="4"/>
        <v>10.25</v>
      </c>
      <c r="M45">
        <f t="shared" si="5"/>
        <v>0.26034999999999997</v>
      </c>
      <c r="N45">
        <v>14.8</v>
      </c>
      <c r="R45">
        <f t="shared" si="15"/>
        <v>32.5</v>
      </c>
      <c r="S45">
        <f t="shared" si="6"/>
        <v>20.5</v>
      </c>
      <c r="T45">
        <f t="shared" si="7"/>
        <v>0.52069999999999994</v>
      </c>
      <c r="U45">
        <v>17</v>
      </c>
      <c r="W45">
        <f t="shared" si="16"/>
        <v>32.5</v>
      </c>
      <c r="X45">
        <f t="shared" si="8"/>
        <v>20.5</v>
      </c>
      <c r="Y45">
        <f t="shared" si="9"/>
        <v>0.52069999999999994</v>
      </c>
      <c r="Z45">
        <v>16</v>
      </c>
      <c r="AB45">
        <f t="shared" si="17"/>
        <v>32.5</v>
      </c>
      <c r="AC45">
        <f t="shared" si="10"/>
        <v>20.5</v>
      </c>
      <c r="AD45">
        <f t="shared" si="11"/>
        <v>0.52069999999999994</v>
      </c>
      <c r="AE45">
        <v>16</v>
      </c>
    </row>
    <row r="46" spans="1:31" x14ac:dyDescent="0.5">
      <c r="A46">
        <f>A45+0.25</f>
        <v>16.5</v>
      </c>
      <c r="B46">
        <f t="shared" si="0"/>
        <v>10.5</v>
      </c>
      <c r="C46">
        <f t="shared" si="1"/>
        <v>0.26669999999999999</v>
      </c>
      <c r="D46">
        <v>16.399999999999999</v>
      </c>
      <c r="F46">
        <f>F45+0.25</f>
        <v>16.5</v>
      </c>
      <c r="G46">
        <f t="shared" si="2"/>
        <v>10.5</v>
      </c>
      <c r="H46">
        <f t="shared" si="3"/>
        <v>0.26669999999999999</v>
      </c>
      <c r="I46">
        <v>15.4</v>
      </c>
      <c r="K46">
        <f>K45+0.25</f>
        <v>16.5</v>
      </c>
      <c r="L46">
        <f t="shared" si="4"/>
        <v>10.5</v>
      </c>
      <c r="M46">
        <f t="shared" si="5"/>
        <v>0.26669999999999999</v>
      </c>
      <c r="N46">
        <v>15.2</v>
      </c>
      <c r="R46">
        <f t="shared" si="15"/>
        <v>33</v>
      </c>
      <c r="S46">
        <f t="shared" si="6"/>
        <v>21</v>
      </c>
      <c r="T46">
        <f t="shared" si="7"/>
        <v>0.53339999999999999</v>
      </c>
      <c r="U46">
        <v>17.399999999999999</v>
      </c>
      <c r="W46">
        <f t="shared" si="16"/>
        <v>33</v>
      </c>
      <c r="X46">
        <f t="shared" si="8"/>
        <v>21</v>
      </c>
      <c r="Y46">
        <f t="shared" si="9"/>
        <v>0.53339999999999999</v>
      </c>
      <c r="Z46">
        <v>16.2</v>
      </c>
      <c r="AB46">
        <f t="shared" si="17"/>
        <v>33</v>
      </c>
      <c r="AC46">
        <f t="shared" si="10"/>
        <v>21</v>
      </c>
      <c r="AD46">
        <f t="shared" si="11"/>
        <v>0.53339999999999999</v>
      </c>
      <c r="AE46">
        <v>16.600000000000001</v>
      </c>
    </row>
    <row r="47" spans="1:31" x14ac:dyDescent="0.5">
      <c r="A47">
        <f t="shared" ref="A47:A51" si="18">A46+0.25</f>
        <v>16.75</v>
      </c>
      <c r="B47">
        <f t="shared" si="0"/>
        <v>10.75</v>
      </c>
      <c r="C47">
        <f t="shared" si="1"/>
        <v>0.27305000000000001</v>
      </c>
      <c r="D47">
        <v>16.8</v>
      </c>
      <c r="F47">
        <f t="shared" ref="F47:F51" si="19">F46+0.25</f>
        <v>16.75</v>
      </c>
      <c r="G47">
        <f t="shared" si="2"/>
        <v>10.75</v>
      </c>
      <c r="H47">
        <f t="shared" si="3"/>
        <v>0.27305000000000001</v>
      </c>
      <c r="I47">
        <v>15.8</v>
      </c>
      <c r="K47">
        <f t="shared" ref="K47:K51" si="20">K46+0.25</f>
        <v>16.75</v>
      </c>
      <c r="L47">
        <f t="shared" si="4"/>
        <v>10.75</v>
      </c>
      <c r="M47">
        <f t="shared" si="5"/>
        <v>0.27305000000000001</v>
      </c>
      <c r="N47">
        <v>15.4</v>
      </c>
      <c r="R47">
        <f t="shared" si="15"/>
        <v>33.5</v>
      </c>
      <c r="S47">
        <f t="shared" si="6"/>
        <v>21.5</v>
      </c>
      <c r="T47">
        <f t="shared" si="7"/>
        <v>0.54610000000000003</v>
      </c>
      <c r="U47">
        <v>17.600000000000001</v>
      </c>
      <c r="W47">
        <f t="shared" si="16"/>
        <v>33.5</v>
      </c>
      <c r="X47">
        <f t="shared" si="8"/>
        <v>21.5</v>
      </c>
      <c r="Y47">
        <f t="shared" si="9"/>
        <v>0.54610000000000003</v>
      </c>
      <c r="Z47">
        <v>16.8</v>
      </c>
      <c r="AB47">
        <f t="shared" si="17"/>
        <v>33.5</v>
      </c>
      <c r="AC47">
        <f t="shared" si="10"/>
        <v>21.5</v>
      </c>
      <c r="AD47">
        <f t="shared" si="11"/>
        <v>0.54610000000000003</v>
      </c>
      <c r="AE47">
        <v>16.8</v>
      </c>
    </row>
    <row r="48" spans="1:31" x14ac:dyDescent="0.5">
      <c r="A48">
        <f t="shared" si="18"/>
        <v>17</v>
      </c>
      <c r="B48">
        <f t="shared" si="0"/>
        <v>11</v>
      </c>
      <c r="C48">
        <f t="shared" si="1"/>
        <v>0.27939999999999998</v>
      </c>
      <c r="D48">
        <v>17.2</v>
      </c>
      <c r="F48">
        <f t="shared" si="19"/>
        <v>17</v>
      </c>
      <c r="G48">
        <f t="shared" si="2"/>
        <v>11</v>
      </c>
      <c r="H48">
        <f t="shared" si="3"/>
        <v>0.27939999999999998</v>
      </c>
      <c r="I48">
        <v>16.2</v>
      </c>
      <c r="K48">
        <f t="shared" si="20"/>
        <v>17</v>
      </c>
      <c r="L48">
        <f t="shared" si="4"/>
        <v>11</v>
      </c>
      <c r="M48">
        <f t="shared" si="5"/>
        <v>0.27939999999999998</v>
      </c>
      <c r="N48">
        <v>15.8</v>
      </c>
      <c r="R48">
        <f t="shared" si="15"/>
        <v>34</v>
      </c>
      <c r="S48">
        <f t="shared" si="6"/>
        <v>22</v>
      </c>
      <c r="T48">
        <f t="shared" si="7"/>
        <v>0.55879999999999996</v>
      </c>
      <c r="U48">
        <v>18</v>
      </c>
      <c r="W48">
        <f t="shared" si="16"/>
        <v>34</v>
      </c>
      <c r="X48">
        <f t="shared" si="8"/>
        <v>22</v>
      </c>
      <c r="Y48">
        <f t="shared" si="9"/>
        <v>0.55879999999999996</v>
      </c>
      <c r="Z48">
        <v>17</v>
      </c>
      <c r="AB48">
        <f t="shared" si="17"/>
        <v>34</v>
      </c>
      <c r="AC48">
        <f t="shared" si="10"/>
        <v>22</v>
      </c>
      <c r="AD48">
        <f t="shared" si="11"/>
        <v>0.55879999999999996</v>
      </c>
      <c r="AE48">
        <v>17.2</v>
      </c>
    </row>
    <row r="49" spans="1:31" x14ac:dyDescent="0.5">
      <c r="A49">
        <f t="shared" si="18"/>
        <v>17.25</v>
      </c>
      <c r="B49">
        <f t="shared" si="0"/>
        <v>11.25</v>
      </c>
      <c r="C49">
        <f t="shared" si="1"/>
        <v>0.28575</v>
      </c>
      <c r="D49">
        <v>17.600000000000001</v>
      </c>
      <c r="F49">
        <f t="shared" si="19"/>
        <v>17.25</v>
      </c>
      <c r="G49">
        <f t="shared" si="2"/>
        <v>11.25</v>
      </c>
      <c r="H49">
        <f t="shared" si="3"/>
        <v>0.28575</v>
      </c>
      <c r="I49">
        <v>16.600000000000001</v>
      </c>
      <c r="K49">
        <f t="shared" si="20"/>
        <v>17.25</v>
      </c>
      <c r="L49">
        <f t="shared" si="4"/>
        <v>11.25</v>
      </c>
      <c r="M49">
        <f t="shared" si="5"/>
        <v>0.28575</v>
      </c>
      <c r="N49">
        <v>16.2</v>
      </c>
      <c r="R49">
        <f t="shared" si="15"/>
        <v>34.5</v>
      </c>
      <c r="S49">
        <f t="shared" si="6"/>
        <v>22.5</v>
      </c>
      <c r="T49">
        <f t="shared" si="7"/>
        <v>0.57150000000000001</v>
      </c>
      <c r="U49">
        <v>18.399999999999999</v>
      </c>
      <c r="W49">
        <f t="shared" si="16"/>
        <v>34.5</v>
      </c>
      <c r="X49">
        <f t="shared" si="8"/>
        <v>22.5</v>
      </c>
      <c r="Y49">
        <f t="shared" si="9"/>
        <v>0.57150000000000001</v>
      </c>
      <c r="Z49">
        <v>17.399999999999999</v>
      </c>
      <c r="AB49">
        <f t="shared" si="17"/>
        <v>34.5</v>
      </c>
      <c r="AC49">
        <f t="shared" si="10"/>
        <v>22.5</v>
      </c>
      <c r="AD49">
        <f t="shared" si="11"/>
        <v>0.57150000000000001</v>
      </c>
      <c r="AE49">
        <v>17.600000000000001</v>
      </c>
    </row>
    <row r="50" spans="1:31" x14ac:dyDescent="0.5">
      <c r="A50">
        <f t="shared" si="18"/>
        <v>17.5</v>
      </c>
      <c r="B50">
        <f t="shared" si="0"/>
        <v>11.5</v>
      </c>
      <c r="C50">
        <f t="shared" si="1"/>
        <v>0.29209999999999997</v>
      </c>
      <c r="D50">
        <v>18</v>
      </c>
      <c r="F50">
        <f t="shared" si="19"/>
        <v>17.5</v>
      </c>
      <c r="G50">
        <f t="shared" si="2"/>
        <v>11.5</v>
      </c>
      <c r="H50">
        <f t="shared" si="3"/>
        <v>0.29209999999999997</v>
      </c>
      <c r="I50">
        <v>17</v>
      </c>
      <c r="K50">
        <f t="shared" si="20"/>
        <v>17.5</v>
      </c>
      <c r="L50">
        <f t="shared" si="4"/>
        <v>11.5</v>
      </c>
      <c r="M50">
        <f t="shared" si="5"/>
        <v>0.29209999999999997</v>
      </c>
      <c r="N50">
        <v>16.600000000000001</v>
      </c>
      <c r="R50">
        <f t="shared" si="15"/>
        <v>35</v>
      </c>
      <c r="S50">
        <f t="shared" si="6"/>
        <v>23</v>
      </c>
      <c r="T50">
        <f t="shared" si="7"/>
        <v>0.58419999999999994</v>
      </c>
      <c r="U50">
        <v>18.8</v>
      </c>
      <c r="W50">
        <f t="shared" si="16"/>
        <v>35</v>
      </c>
      <c r="X50">
        <f t="shared" si="8"/>
        <v>23</v>
      </c>
      <c r="Y50">
        <f t="shared" si="9"/>
        <v>0.58419999999999994</v>
      </c>
      <c r="Z50">
        <v>17.8</v>
      </c>
      <c r="AB50">
        <f t="shared" si="17"/>
        <v>35</v>
      </c>
      <c r="AC50">
        <f t="shared" si="10"/>
        <v>23</v>
      </c>
      <c r="AD50">
        <f t="shared" si="11"/>
        <v>0.58419999999999994</v>
      </c>
      <c r="AE50">
        <v>18</v>
      </c>
    </row>
    <row r="51" spans="1:31" x14ac:dyDescent="0.5">
      <c r="A51">
        <f t="shared" si="18"/>
        <v>17.75</v>
      </c>
      <c r="B51">
        <f t="shared" si="0"/>
        <v>11.75</v>
      </c>
      <c r="C51">
        <f t="shared" si="1"/>
        <v>0.29844999999999999</v>
      </c>
      <c r="D51">
        <v>18.2</v>
      </c>
      <c r="F51">
        <f t="shared" si="19"/>
        <v>17.75</v>
      </c>
      <c r="G51">
        <f t="shared" si="2"/>
        <v>11.75</v>
      </c>
      <c r="H51">
        <f t="shared" si="3"/>
        <v>0.29844999999999999</v>
      </c>
      <c r="I51">
        <v>17.399999999999999</v>
      </c>
      <c r="K51">
        <f t="shared" si="20"/>
        <v>17.75</v>
      </c>
      <c r="L51">
        <f t="shared" si="4"/>
        <v>11.75</v>
      </c>
      <c r="M51">
        <f t="shared" si="5"/>
        <v>0.29844999999999999</v>
      </c>
      <c r="N51">
        <v>17</v>
      </c>
      <c r="R51">
        <f t="shared" si="15"/>
        <v>35.5</v>
      </c>
      <c r="S51">
        <f t="shared" si="6"/>
        <v>23.5</v>
      </c>
      <c r="T51">
        <f t="shared" si="7"/>
        <v>0.59689999999999999</v>
      </c>
      <c r="U51">
        <v>19.2</v>
      </c>
      <c r="W51">
        <f t="shared" si="16"/>
        <v>35.5</v>
      </c>
      <c r="X51">
        <f t="shared" si="8"/>
        <v>23.5</v>
      </c>
      <c r="Y51">
        <f t="shared" si="9"/>
        <v>0.59689999999999999</v>
      </c>
      <c r="Z51">
        <v>18.2</v>
      </c>
      <c r="AB51">
        <f t="shared" si="17"/>
        <v>35.5</v>
      </c>
      <c r="AC51">
        <f t="shared" si="10"/>
        <v>23.5</v>
      </c>
      <c r="AD51">
        <f t="shared" si="11"/>
        <v>0.59689999999999999</v>
      </c>
      <c r="AE51">
        <v>18.399999999999999</v>
      </c>
    </row>
    <row r="52" spans="1:31" x14ac:dyDescent="0.5">
      <c r="A52">
        <f>A51+0.25</f>
        <v>18</v>
      </c>
      <c r="B52">
        <f t="shared" si="0"/>
        <v>12</v>
      </c>
      <c r="C52">
        <f t="shared" si="1"/>
        <v>0.30479999999999996</v>
      </c>
      <c r="D52">
        <v>18.600000000000001</v>
      </c>
      <c r="F52">
        <f>F51+0.25</f>
        <v>18</v>
      </c>
      <c r="G52">
        <f t="shared" si="2"/>
        <v>12</v>
      </c>
      <c r="H52">
        <f t="shared" si="3"/>
        <v>0.30479999999999996</v>
      </c>
      <c r="I52">
        <v>18</v>
      </c>
      <c r="K52">
        <f>K51+0.25</f>
        <v>18</v>
      </c>
      <c r="L52">
        <f t="shared" si="4"/>
        <v>12</v>
      </c>
      <c r="M52">
        <f t="shared" si="5"/>
        <v>0.30479999999999996</v>
      </c>
      <c r="N52">
        <v>17.399999999999999</v>
      </c>
      <c r="R52">
        <f t="shared" si="15"/>
        <v>36</v>
      </c>
      <c r="S52">
        <f t="shared" si="6"/>
        <v>24</v>
      </c>
      <c r="T52">
        <f t="shared" si="7"/>
        <v>0.60959999999999992</v>
      </c>
      <c r="U52">
        <v>19.399999999999999</v>
      </c>
      <c r="W52">
        <f t="shared" si="16"/>
        <v>36</v>
      </c>
      <c r="X52">
        <f t="shared" si="8"/>
        <v>24</v>
      </c>
      <c r="Y52">
        <f t="shared" si="9"/>
        <v>0.60959999999999992</v>
      </c>
      <c r="Z52">
        <v>18.600000000000001</v>
      </c>
      <c r="AB52">
        <f t="shared" si="17"/>
        <v>36</v>
      </c>
      <c r="AC52">
        <f t="shared" si="10"/>
        <v>24</v>
      </c>
      <c r="AD52">
        <f t="shared" si="11"/>
        <v>0.60959999999999992</v>
      </c>
      <c r="AE52">
        <v>19</v>
      </c>
    </row>
  </sheetData>
  <mergeCells count="2">
    <mergeCell ref="A1:B1"/>
    <mergeCell ref="R1:S1"/>
  </mergeCells>
  <pageMargins left="0.7" right="0.7" top="0.75" bottom="0.75" header="0.3" footer="0.3"/>
  <pageSetup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D974-C38E-344A-A17D-6B52378FDCF8}">
  <dimension ref="A1:AD52"/>
  <sheetViews>
    <sheetView zoomScale="50" workbookViewId="0">
      <selection activeCell="B3" sqref="B3:C52"/>
    </sheetView>
  </sheetViews>
  <sheetFormatPr defaultColWidth="11" defaultRowHeight="15.75" x14ac:dyDescent="0.5"/>
  <sheetData>
    <row r="1" spans="1:30" x14ac:dyDescent="0.5">
      <c r="A1" s="2" t="s">
        <v>17</v>
      </c>
      <c r="B1" s="2"/>
      <c r="C1" s="1"/>
      <c r="D1" s="1"/>
      <c r="Q1" s="2" t="s">
        <v>18</v>
      </c>
      <c r="R1" s="2"/>
    </row>
    <row r="2" spans="1:30" x14ac:dyDescent="0.5">
      <c r="A2" s="1"/>
      <c r="B2" s="1"/>
      <c r="C2" s="1"/>
      <c r="D2" s="1"/>
    </row>
    <row r="3" spans="1:30" x14ac:dyDescent="0.5">
      <c r="A3" t="s">
        <v>2</v>
      </c>
      <c r="B3" t="s">
        <v>3</v>
      </c>
      <c r="C3" t="s">
        <v>4</v>
      </c>
      <c r="D3" t="s">
        <v>5</v>
      </c>
      <c r="F3" t="s">
        <v>2</v>
      </c>
      <c r="G3" t="s">
        <v>3</v>
      </c>
      <c r="H3" t="s">
        <v>4</v>
      </c>
      <c r="I3" t="s">
        <v>5</v>
      </c>
      <c r="K3" t="s">
        <v>2</v>
      </c>
      <c r="L3" t="s">
        <v>3</v>
      </c>
      <c r="M3" t="s">
        <v>4</v>
      </c>
      <c r="N3" t="s">
        <v>5</v>
      </c>
      <c r="Q3" t="s">
        <v>2</v>
      </c>
      <c r="R3" t="s">
        <v>8</v>
      </c>
      <c r="S3" t="s">
        <v>4</v>
      </c>
      <c r="T3" t="s">
        <v>5</v>
      </c>
      <c r="V3" t="s">
        <v>2</v>
      </c>
      <c r="W3" t="s">
        <v>8</v>
      </c>
      <c r="X3" t="s">
        <v>4</v>
      </c>
      <c r="Y3" t="s">
        <v>5</v>
      </c>
      <c r="AA3" t="s">
        <v>2</v>
      </c>
      <c r="AB3" t="s">
        <v>8</v>
      </c>
      <c r="AC3" t="s">
        <v>4</v>
      </c>
      <c r="AD3" t="s">
        <v>5</v>
      </c>
    </row>
    <row r="4" spans="1:30" x14ac:dyDescent="0.5">
      <c r="A4">
        <v>6</v>
      </c>
      <c r="B4">
        <f>A4-6</f>
        <v>0</v>
      </c>
      <c r="C4">
        <f>B4*0.0254</f>
        <v>0</v>
      </c>
      <c r="D4">
        <v>0</v>
      </c>
      <c r="F4">
        <v>6</v>
      </c>
      <c r="G4">
        <f>F4-6</f>
        <v>0</v>
      </c>
      <c r="H4">
        <f>G4*0.0254</f>
        <v>0</v>
      </c>
      <c r="I4">
        <v>0</v>
      </c>
      <c r="K4">
        <v>6</v>
      </c>
      <c r="L4">
        <f>K4-6</f>
        <v>0</v>
      </c>
      <c r="M4">
        <f>L4*0.0254</f>
        <v>0</v>
      </c>
      <c r="N4">
        <v>0</v>
      </c>
      <c r="Q4">
        <v>12</v>
      </c>
      <c r="R4">
        <f>Q4-12</f>
        <v>0</v>
      </c>
      <c r="S4">
        <f>R4*0.0254</f>
        <v>0</v>
      </c>
      <c r="T4">
        <v>0</v>
      </c>
      <c r="V4">
        <v>12</v>
      </c>
      <c r="W4">
        <f>V4-12</f>
        <v>0</v>
      </c>
      <c r="X4">
        <f>W4*0.0254</f>
        <v>0</v>
      </c>
      <c r="Y4">
        <v>0</v>
      </c>
      <c r="AA4">
        <v>12</v>
      </c>
      <c r="AB4">
        <f>AA4-12</f>
        <v>0</v>
      </c>
      <c r="AC4">
        <f>AB4*0.0254</f>
        <v>0</v>
      </c>
      <c r="AD4">
        <v>0</v>
      </c>
    </row>
    <row r="5" spans="1:30" x14ac:dyDescent="0.5">
      <c r="A5">
        <f>A4+0.25</f>
        <v>6.25</v>
      </c>
      <c r="B5">
        <f t="shared" ref="B5:B52" si="0">A5-6</f>
        <v>0.25</v>
      </c>
      <c r="C5">
        <f t="shared" ref="C5:C52" si="1">B5*0.0254</f>
        <v>6.3499999999999997E-3</v>
      </c>
      <c r="D5">
        <v>1.4</v>
      </c>
      <c r="F5">
        <f>F4+0.25</f>
        <v>6.25</v>
      </c>
      <c r="G5">
        <f t="shared" ref="G5:G52" si="2">F5-6</f>
        <v>0.25</v>
      </c>
      <c r="H5">
        <f t="shared" ref="H5:H52" si="3">G5*0.0254</f>
        <v>6.3499999999999997E-3</v>
      </c>
      <c r="I5">
        <v>1.8</v>
      </c>
      <c r="K5">
        <f>K4+0.25</f>
        <v>6.25</v>
      </c>
      <c r="L5">
        <f t="shared" ref="L5:L52" si="4">K5-6</f>
        <v>0.25</v>
      </c>
      <c r="M5">
        <f t="shared" ref="M5:M52" si="5">L5*0.0254</f>
        <v>6.3499999999999997E-3</v>
      </c>
      <c r="N5">
        <v>1.8</v>
      </c>
      <c r="Q5">
        <f>Q4+0.5</f>
        <v>12.5</v>
      </c>
      <c r="R5">
        <f t="shared" ref="R5:R52" si="6">Q5-12</f>
        <v>0.5</v>
      </c>
      <c r="S5">
        <f t="shared" ref="S5:S52" si="7">R5*0.0254</f>
        <v>1.2699999999999999E-2</v>
      </c>
      <c r="T5">
        <v>1.4</v>
      </c>
      <c r="V5">
        <f>V4+0.5</f>
        <v>12.5</v>
      </c>
      <c r="W5">
        <f t="shared" ref="W5:W52" si="8">V5-12</f>
        <v>0.5</v>
      </c>
      <c r="X5">
        <f t="shared" ref="X5:X52" si="9">W5*0.0254</f>
        <v>1.2699999999999999E-2</v>
      </c>
      <c r="Y5">
        <v>1.6</v>
      </c>
      <c r="AA5">
        <f>AA4+0.5</f>
        <v>12.5</v>
      </c>
      <c r="AB5">
        <f t="shared" ref="AB5:AB52" si="10">AA5-12</f>
        <v>0.5</v>
      </c>
      <c r="AC5">
        <f t="shared" ref="AC5:AC52" si="11">AB5*0.0254</f>
        <v>1.2699999999999999E-2</v>
      </c>
      <c r="AD5">
        <v>1.4</v>
      </c>
    </row>
    <row r="6" spans="1:30" x14ac:dyDescent="0.5">
      <c r="A6">
        <f t="shared" ref="A6:A45" si="12">A5+0.25</f>
        <v>6.5</v>
      </c>
      <c r="B6">
        <f t="shared" si="0"/>
        <v>0.5</v>
      </c>
      <c r="C6">
        <f t="shared" si="1"/>
        <v>1.2699999999999999E-2</v>
      </c>
      <c r="D6">
        <v>2.4</v>
      </c>
      <c r="F6">
        <f t="shared" ref="F6:F45" si="13">F5+0.25</f>
        <v>6.5</v>
      </c>
      <c r="G6">
        <f t="shared" si="2"/>
        <v>0.5</v>
      </c>
      <c r="H6">
        <f t="shared" si="3"/>
        <v>1.2699999999999999E-2</v>
      </c>
      <c r="I6">
        <v>3</v>
      </c>
      <c r="K6">
        <f t="shared" ref="K6:K45" si="14">K5+0.25</f>
        <v>6.5</v>
      </c>
      <c r="L6">
        <f t="shared" si="4"/>
        <v>0.5</v>
      </c>
      <c r="M6">
        <f t="shared" si="5"/>
        <v>1.2699999999999999E-2</v>
      </c>
      <c r="N6">
        <v>2.8</v>
      </c>
      <c r="Q6">
        <f t="shared" ref="Q6:Q52" si="15">Q5+0.5</f>
        <v>13</v>
      </c>
      <c r="R6">
        <f t="shared" si="6"/>
        <v>1</v>
      </c>
      <c r="S6">
        <f t="shared" si="7"/>
        <v>2.5399999999999999E-2</v>
      </c>
      <c r="T6">
        <v>3</v>
      </c>
      <c r="V6">
        <f t="shared" ref="V6:V52" si="16">V5+0.5</f>
        <v>13</v>
      </c>
      <c r="W6">
        <f t="shared" si="8"/>
        <v>1</v>
      </c>
      <c r="X6">
        <f t="shared" si="9"/>
        <v>2.5399999999999999E-2</v>
      </c>
      <c r="Y6">
        <v>2.6</v>
      </c>
      <c r="AA6">
        <f t="shared" ref="AA6:AA52" si="17">AA5+0.5</f>
        <v>13</v>
      </c>
      <c r="AB6">
        <f t="shared" si="10"/>
        <v>1</v>
      </c>
      <c r="AC6">
        <f t="shared" si="11"/>
        <v>2.5399999999999999E-2</v>
      </c>
      <c r="AD6">
        <v>2.6</v>
      </c>
    </row>
    <row r="7" spans="1:30" x14ac:dyDescent="0.5">
      <c r="A7">
        <f t="shared" si="12"/>
        <v>6.75</v>
      </c>
      <c r="B7">
        <f t="shared" si="0"/>
        <v>0.75</v>
      </c>
      <c r="C7">
        <f t="shared" si="1"/>
        <v>1.9049999999999997E-2</v>
      </c>
      <c r="D7">
        <v>4</v>
      </c>
      <c r="F7">
        <f t="shared" si="13"/>
        <v>6.75</v>
      </c>
      <c r="G7">
        <f t="shared" si="2"/>
        <v>0.75</v>
      </c>
      <c r="H7">
        <f t="shared" si="3"/>
        <v>1.9049999999999997E-2</v>
      </c>
      <c r="I7">
        <v>3.8</v>
      </c>
      <c r="K7">
        <f t="shared" si="14"/>
        <v>6.75</v>
      </c>
      <c r="L7">
        <f t="shared" si="4"/>
        <v>0.75</v>
      </c>
      <c r="M7">
        <f t="shared" si="5"/>
        <v>1.9049999999999997E-2</v>
      </c>
      <c r="N7">
        <v>3.4</v>
      </c>
      <c r="Q7">
        <f t="shared" si="15"/>
        <v>13.5</v>
      </c>
      <c r="R7">
        <f t="shared" si="6"/>
        <v>1.5</v>
      </c>
      <c r="S7">
        <f t="shared" si="7"/>
        <v>3.8099999999999995E-2</v>
      </c>
      <c r="T7">
        <v>4</v>
      </c>
      <c r="V7">
        <f t="shared" si="16"/>
        <v>13.5</v>
      </c>
      <c r="W7">
        <f t="shared" si="8"/>
        <v>1.5</v>
      </c>
      <c r="X7">
        <f t="shared" si="9"/>
        <v>3.8099999999999995E-2</v>
      </c>
      <c r="Y7">
        <v>3.8</v>
      </c>
      <c r="AA7">
        <f t="shared" si="17"/>
        <v>13.5</v>
      </c>
      <c r="AB7">
        <f t="shared" si="10"/>
        <v>1.5</v>
      </c>
      <c r="AC7">
        <f t="shared" si="11"/>
        <v>3.8099999999999995E-2</v>
      </c>
      <c r="AD7">
        <v>3.6</v>
      </c>
    </row>
    <row r="8" spans="1:30" x14ac:dyDescent="0.5">
      <c r="A8">
        <f t="shared" si="12"/>
        <v>7</v>
      </c>
      <c r="B8">
        <f t="shared" si="0"/>
        <v>1</v>
      </c>
      <c r="C8">
        <f t="shared" si="1"/>
        <v>2.5399999999999999E-2</v>
      </c>
      <c r="D8">
        <v>4.5999999999999996</v>
      </c>
      <c r="F8">
        <f t="shared" si="13"/>
        <v>7</v>
      </c>
      <c r="G8">
        <f t="shared" si="2"/>
        <v>1</v>
      </c>
      <c r="H8">
        <f t="shared" si="3"/>
        <v>2.5399999999999999E-2</v>
      </c>
      <c r="I8">
        <v>4.4000000000000004</v>
      </c>
      <c r="K8">
        <f t="shared" si="14"/>
        <v>7</v>
      </c>
      <c r="L8">
        <f t="shared" si="4"/>
        <v>1</v>
      </c>
      <c r="M8">
        <f t="shared" si="5"/>
        <v>2.5399999999999999E-2</v>
      </c>
      <c r="N8">
        <v>4.5999999999999996</v>
      </c>
      <c r="Q8">
        <f t="shared" si="15"/>
        <v>14</v>
      </c>
      <c r="R8">
        <f t="shared" si="6"/>
        <v>2</v>
      </c>
      <c r="S8">
        <f t="shared" si="7"/>
        <v>5.0799999999999998E-2</v>
      </c>
      <c r="T8">
        <v>5.6</v>
      </c>
      <c r="V8">
        <f t="shared" si="16"/>
        <v>14</v>
      </c>
      <c r="W8">
        <f t="shared" si="8"/>
        <v>2</v>
      </c>
      <c r="X8">
        <f t="shared" si="9"/>
        <v>5.0799999999999998E-2</v>
      </c>
      <c r="Y8">
        <v>4.8</v>
      </c>
      <c r="AA8">
        <f t="shared" si="17"/>
        <v>14</v>
      </c>
      <c r="AB8">
        <f t="shared" si="10"/>
        <v>2</v>
      </c>
      <c r="AC8">
        <f t="shared" si="11"/>
        <v>5.0799999999999998E-2</v>
      </c>
      <c r="AD8">
        <v>4.8</v>
      </c>
    </row>
    <row r="9" spans="1:30" x14ac:dyDescent="0.5">
      <c r="A9">
        <f t="shared" si="12"/>
        <v>7.25</v>
      </c>
      <c r="B9">
        <f t="shared" si="0"/>
        <v>1.25</v>
      </c>
      <c r="C9">
        <f t="shared" si="1"/>
        <v>3.175E-2</v>
      </c>
      <c r="D9">
        <v>5.8</v>
      </c>
      <c r="F9">
        <f t="shared" si="13"/>
        <v>7.25</v>
      </c>
      <c r="G9">
        <f t="shared" si="2"/>
        <v>1.25</v>
      </c>
      <c r="H9">
        <f t="shared" si="3"/>
        <v>3.175E-2</v>
      </c>
      <c r="I9">
        <v>5.6</v>
      </c>
      <c r="K9">
        <f t="shared" si="14"/>
        <v>7.25</v>
      </c>
      <c r="L9">
        <f t="shared" si="4"/>
        <v>1.25</v>
      </c>
      <c r="M9">
        <f t="shared" si="5"/>
        <v>3.175E-2</v>
      </c>
      <c r="N9">
        <v>5</v>
      </c>
      <c r="Q9">
        <f t="shared" si="15"/>
        <v>14.5</v>
      </c>
      <c r="R9">
        <f t="shared" si="6"/>
        <v>2.5</v>
      </c>
      <c r="S9">
        <f t="shared" si="7"/>
        <v>6.3500000000000001E-2</v>
      </c>
      <c r="T9">
        <v>6.8</v>
      </c>
      <c r="V9">
        <f t="shared" si="16"/>
        <v>14.5</v>
      </c>
      <c r="W9">
        <f t="shared" si="8"/>
        <v>2.5</v>
      </c>
      <c r="X9">
        <f t="shared" si="9"/>
        <v>6.3500000000000001E-2</v>
      </c>
      <c r="Y9">
        <v>5.6</v>
      </c>
      <c r="AA9">
        <f t="shared" si="17"/>
        <v>14.5</v>
      </c>
      <c r="AB9">
        <f t="shared" si="10"/>
        <v>2.5</v>
      </c>
      <c r="AC9">
        <f t="shared" si="11"/>
        <v>6.3500000000000001E-2</v>
      </c>
      <c r="AD9">
        <v>5.6</v>
      </c>
    </row>
    <row r="10" spans="1:30" x14ac:dyDescent="0.5">
      <c r="A10">
        <f t="shared" si="12"/>
        <v>7.5</v>
      </c>
      <c r="B10">
        <f t="shared" si="0"/>
        <v>1.5</v>
      </c>
      <c r="C10">
        <f t="shared" si="1"/>
        <v>3.8099999999999995E-2</v>
      </c>
      <c r="D10">
        <v>5.8</v>
      </c>
      <c r="F10">
        <f t="shared" si="13"/>
        <v>7.5</v>
      </c>
      <c r="G10">
        <f t="shared" si="2"/>
        <v>1.5</v>
      </c>
      <c r="H10">
        <f t="shared" si="3"/>
        <v>3.8099999999999995E-2</v>
      </c>
      <c r="I10">
        <v>6.4</v>
      </c>
      <c r="K10">
        <f t="shared" si="14"/>
        <v>7.5</v>
      </c>
      <c r="L10">
        <f t="shared" si="4"/>
        <v>1.5</v>
      </c>
      <c r="M10">
        <f t="shared" si="5"/>
        <v>3.8099999999999995E-2</v>
      </c>
      <c r="N10">
        <v>6</v>
      </c>
      <c r="Q10">
        <f t="shared" si="15"/>
        <v>15</v>
      </c>
      <c r="R10">
        <f t="shared" si="6"/>
        <v>3</v>
      </c>
      <c r="S10">
        <f t="shared" si="7"/>
        <v>7.619999999999999E-2</v>
      </c>
      <c r="T10">
        <v>7.4</v>
      </c>
      <c r="V10">
        <f t="shared" si="16"/>
        <v>15</v>
      </c>
      <c r="W10">
        <f t="shared" si="8"/>
        <v>3</v>
      </c>
      <c r="X10">
        <f t="shared" si="9"/>
        <v>7.619999999999999E-2</v>
      </c>
      <c r="Y10">
        <v>6.6</v>
      </c>
      <c r="AA10">
        <f t="shared" si="17"/>
        <v>15</v>
      </c>
      <c r="AB10">
        <f t="shared" si="10"/>
        <v>3</v>
      </c>
      <c r="AC10">
        <f t="shared" si="11"/>
        <v>7.619999999999999E-2</v>
      </c>
      <c r="AD10">
        <v>6</v>
      </c>
    </row>
    <row r="11" spans="1:30" x14ac:dyDescent="0.5">
      <c r="A11">
        <f t="shared" si="12"/>
        <v>7.75</v>
      </c>
      <c r="B11">
        <f t="shared" si="0"/>
        <v>1.75</v>
      </c>
      <c r="C11">
        <f t="shared" si="1"/>
        <v>4.4449999999999996E-2</v>
      </c>
      <c r="D11">
        <v>7</v>
      </c>
      <c r="F11">
        <f t="shared" si="13"/>
        <v>7.75</v>
      </c>
      <c r="G11">
        <f t="shared" si="2"/>
        <v>1.75</v>
      </c>
      <c r="H11">
        <f t="shared" si="3"/>
        <v>4.4449999999999996E-2</v>
      </c>
      <c r="I11">
        <v>6.6</v>
      </c>
      <c r="K11">
        <f t="shared" si="14"/>
        <v>7.75</v>
      </c>
      <c r="L11">
        <f t="shared" si="4"/>
        <v>1.75</v>
      </c>
      <c r="M11">
        <f t="shared" si="5"/>
        <v>4.4449999999999996E-2</v>
      </c>
      <c r="N11">
        <v>6.6</v>
      </c>
      <c r="Q11">
        <f t="shared" si="15"/>
        <v>15.5</v>
      </c>
      <c r="R11">
        <f t="shared" si="6"/>
        <v>3.5</v>
      </c>
      <c r="S11">
        <f t="shared" si="7"/>
        <v>8.8899999999999993E-2</v>
      </c>
      <c r="T11">
        <v>8.1999999999999993</v>
      </c>
      <c r="V11">
        <f t="shared" si="16"/>
        <v>15.5</v>
      </c>
      <c r="W11">
        <f t="shared" si="8"/>
        <v>3.5</v>
      </c>
      <c r="X11">
        <f t="shared" si="9"/>
        <v>8.8899999999999993E-2</v>
      </c>
      <c r="Y11">
        <v>7.2</v>
      </c>
      <c r="AA11">
        <f t="shared" si="17"/>
        <v>15.5</v>
      </c>
      <c r="AB11">
        <f t="shared" si="10"/>
        <v>3.5</v>
      </c>
      <c r="AC11">
        <f t="shared" si="11"/>
        <v>8.8899999999999993E-2</v>
      </c>
      <c r="AD11">
        <v>7</v>
      </c>
    </row>
    <row r="12" spans="1:30" x14ac:dyDescent="0.5">
      <c r="A12">
        <f t="shared" si="12"/>
        <v>8</v>
      </c>
      <c r="B12">
        <f t="shared" si="0"/>
        <v>2</v>
      </c>
      <c r="C12">
        <f t="shared" si="1"/>
        <v>5.0799999999999998E-2</v>
      </c>
      <c r="D12">
        <v>7.6</v>
      </c>
      <c r="F12">
        <f t="shared" si="13"/>
        <v>8</v>
      </c>
      <c r="G12">
        <f t="shared" si="2"/>
        <v>2</v>
      </c>
      <c r="H12">
        <f t="shared" si="3"/>
        <v>5.0799999999999998E-2</v>
      </c>
      <c r="I12">
        <v>7.8</v>
      </c>
      <c r="K12">
        <f t="shared" si="14"/>
        <v>8</v>
      </c>
      <c r="L12">
        <f t="shared" si="4"/>
        <v>2</v>
      </c>
      <c r="M12">
        <f t="shared" si="5"/>
        <v>5.0799999999999998E-2</v>
      </c>
      <c r="N12">
        <v>7</v>
      </c>
      <c r="Q12">
        <f t="shared" si="15"/>
        <v>16</v>
      </c>
      <c r="R12">
        <f t="shared" si="6"/>
        <v>4</v>
      </c>
      <c r="S12">
        <f t="shared" si="7"/>
        <v>0.1016</v>
      </c>
      <c r="T12">
        <v>9.1999999999999993</v>
      </c>
      <c r="V12">
        <f t="shared" si="16"/>
        <v>16</v>
      </c>
      <c r="W12">
        <f t="shared" si="8"/>
        <v>4</v>
      </c>
      <c r="X12">
        <f t="shared" si="9"/>
        <v>0.1016</v>
      </c>
      <c r="Y12">
        <v>7.8</v>
      </c>
      <c r="AA12">
        <f t="shared" si="17"/>
        <v>16</v>
      </c>
      <c r="AB12">
        <f t="shared" si="10"/>
        <v>4</v>
      </c>
      <c r="AC12">
        <f t="shared" si="11"/>
        <v>0.1016</v>
      </c>
      <c r="AD12">
        <v>7.6</v>
      </c>
    </row>
    <row r="13" spans="1:30" x14ac:dyDescent="0.5">
      <c r="A13">
        <f t="shared" si="12"/>
        <v>8.25</v>
      </c>
      <c r="B13">
        <f t="shared" si="0"/>
        <v>2.25</v>
      </c>
      <c r="C13">
        <f t="shared" si="1"/>
        <v>5.7149999999999999E-2</v>
      </c>
      <c r="D13">
        <v>8.1999999999999993</v>
      </c>
      <c r="F13">
        <f t="shared" si="13"/>
        <v>8.25</v>
      </c>
      <c r="G13">
        <f t="shared" si="2"/>
        <v>2.25</v>
      </c>
      <c r="H13">
        <f t="shared" si="3"/>
        <v>5.7149999999999999E-2</v>
      </c>
      <c r="I13">
        <v>8.1999999999999993</v>
      </c>
      <c r="K13">
        <f t="shared" si="14"/>
        <v>8.25</v>
      </c>
      <c r="L13">
        <f t="shared" si="4"/>
        <v>2.25</v>
      </c>
      <c r="M13">
        <f t="shared" si="5"/>
        <v>5.7149999999999999E-2</v>
      </c>
      <c r="N13">
        <v>7.8</v>
      </c>
      <c r="Q13">
        <f t="shared" si="15"/>
        <v>16.5</v>
      </c>
      <c r="R13">
        <f t="shared" si="6"/>
        <v>4.5</v>
      </c>
      <c r="S13">
        <f t="shared" si="7"/>
        <v>0.1143</v>
      </c>
      <c r="T13">
        <v>9.8000000000000007</v>
      </c>
      <c r="V13">
        <f t="shared" si="16"/>
        <v>16.5</v>
      </c>
      <c r="W13">
        <f t="shared" si="8"/>
        <v>4.5</v>
      </c>
      <c r="X13">
        <f t="shared" si="9"/>
        <v>0.1143</v>
      </c>
      <c r="Y13">
        <v>8.6</v>
      </c>
      <c r="AA13">
        <f t="shared" si="17"/>
        <v>16.5</v>
      </c>
      <c r="AB13">
        <f t="shared" si="10"/>
        <v>4.5</v>
      </c>
      <c r="AC13">
        <f t="shared" si="11"/>
        <v>0.1143</v>
      </c>
      <c r="AD13">
        <v>8.6</v>
      </c>
    </row>
    <row r="14" spans="1:30" x14ac:dyDescent="0.5">
      <c r="A14">
        <f t="shared" si="12"/>
        <v>8.5</v>
      </c>
      <c r="B14">
        <f t="shared" si="0"/>
        <v>2.5</v>
      </c>
      <c r="C14">
        <f t="shared" si="1"/>
        <v>6.3500000000000001E-2</v>
      </c>
      <c r="D14">
        <v>8.6</v>
      </c>
      <c r="F14">
        <f t="shared" si="13"/>
        <v>8.5</v>
      </c>
      <c r="G14">
        <f t="shared" si="2"/>
        <v>2.5</v>
      </c>
      <c r="H14">
        <f t="shared" si="3"/>
        <v>6.3500000000000001E-2</v>
      </c>
      <c r="I14">
        <v>8.8000000000000007</v>
      </c>
      <c r="K14">
        <f t="shared" si="14"/>
        <v>8.5</v>
      </c>
      <c r="L14">
        <f t="shared" si="4"/>
        <v>2.5</v>
      </c>
      <c r="M14">
        <f t="shared" si="5"/>
        <v>6.3500000000000001E-2</v>
      </c>
      <c r="N14">
        <v>8.4</v>
      </c>
      <c r="Q14">
        <f t="shared" si="15"/>
        <v>17</v>
      </c>
      <c r="R14">
        <f t="shared" si="6"/>
        <v>5</v>
      </c>
      <c r="S14">
        <f t="shared" si="7"/>
        <v>0.127</v>
      </c>
      <c r="T14">
        <v>10.4</v>
      </c>
      <c r="V14">
        <f t="shared" si="16"/>
        <v>17</v>
      </c>
      <c r="W14">
        <f t="shared" si="8"/>
        <v>5</v>
      </c>
      <c r="X14">
        <f t="shared" si="9"/>
        <v>0.127</v>
      </c>
      <c r="Y14">
        <v>9.1999999999999993</v>
      </c>
      <c r="AA14">
        <f t="shared" si="17"/>
        <v>17</v>
      </c>
      <c r="AB14">
        <f t="shared" si="10"/>
        <v>5</v>
      </c>
      <c r="AC14">
        <f t="shared" si="11"/>
        <v>0.127</v>
      </c>
      <c r="AD14">
        <v>8.8000000000000007</v>
      </c>
    </row>
    <row r="15" spans="1:30" x14ac:dyDescent="0.5">
      <c r="A15">
        <f t="shared" si="12"/>
        <v>8.75</v>
      </c>
      <c r="B15">
        <f t="shared" si="0"/>
        <v>2.75</v>
      </c>
      <c r="C15">
        <f t="shared" si="1"/>
        <v>6.9849999999999995E-2</v>
      </c>
      <c r="D15">
        <v>9.8000000000000007</v>
      </c>
      <c r="F15">
        <f t="shared" si="13"/>
        <v>8.75</v>
      </c>
      <c r="G15">
        <f t="shared" si="2"/>
        <v>2.75</v>
      </c>
      <c r="H15">
        <f t="shared" si="3"/>
        <v>6.9849999999999995E-2</v>
      </c>
      <c r="I15">
        <v>9.4</v>
      </c>
      <c r="K15">
        <f t="shared" si="14"/>
        <v>8.75</v>
      </c>
      <c r="L15">
        <f t="shared" si="4"/>
        <v>2.75</v>
      </c>
      <c r="M15">
        <f t="shared" si="5"/>
        <v>6.9849999999999995E-2</v>
      </c>
      <c r="N15">
        <v>8.8000000000000007</v>
      </c>
      <c r="Q15">
        <f t="shared" si="15"/>
        <v>17.5</v>
      </c>
      <c r="R15">
        <f t="shared" si="6"/>
        <v>5.5</v>
      </c>
      <c r="S15">
        <f t="shared" si="7"/>
        <v>0.13969999999999999</v>
      </c>
      <c r="T15">
        <v>11.2</v>
      </c>
      <c r="V15">
        <f t="shared" si="16"/>
        <v>17.5</v>
      </c>
      <c r="W15">
        <f t="shared" si="8"/>
        <v>5.5</v>
      </c>
      <c r="X15">
        <f t="shared" si="9"/>
        <v>0.13969999999999999</v>
      </c>
      <c r="Y15">
        <v>9.8000000000000007</v>
      </c>
      <c r="AA15">
        <f t="shared" si="17"/>
        <v>17.5</v>
      </c>
      <c r="AB15">
        <f t="shared" si="10"/>
        <v>5.5</v>
      </c>
      <c r="AC15">
        <f t="shared" si="11"/>
        <v>0.13969999999999999</v>
      </c>
      <c r="AD15">
        <v>9.6</v>
      </c>
    </row>
    <row r="16" spans="1:30" x14ac:dyDescent="0.5">
      <c r="A16">
        <f t="shared" si="12"/>
        <v>9</v>
      </c>
      <c r="B16">
        <f t="shared" si="0"/>
        <v>3</v>
      </c>
      <c r="C16">
        <f t="shared" si="1"/>
        <v>7.619999999999999E-2</v>
      </c>
      <c r="D16">
        <v>10.4</v>
      </c>
      <c r="F16">
        <f t="shared" si="13"/>
        <v>9</v>
      </c>
      <c r="G16">
        <f t="shared" si="2"/>
        <v>3</v>
      </c>
      <c r="H16">
        <f t="shared" si="3"/>
        <v>7.619999999999999E-2</v>
      </c>
      <c r="I16">
        <v>9.6</v>
      </c>
      <c r="K16">
        <f t="shared" si="14"/>
        <v>9</v>
      </c>
      <c r="L16">
        <f t="shared" si="4"/>
        <v>3</v>
      </c>
      <c r="M16">
        <f t="shared" si="5"/>
        <v>7.619999999999999E-2</v>
      </c>
      <c r="N16">
        <v>9.4</v>
      </c>
      <c r="Q16">
        <f t="shared" si="15"/>
        <v>18</v>
      </c>
      <c r="R16">
        <f t="shared" si="6"/>
        <v>6</v>
      </c>
      <c r="S16">
        <f t="shared" si="7"/>
        <v>0.15239999999999998</v>
      </c>
      <c r="T16">
        <v>11.6</v>
      </c>
      <c r="V16">
        <f t="shared" si="16"/>
        <v>18</v>
      </c>
      <c r="W16">
        <f t="shared" si="8"/>
        <v>6</v>
      </c>
      <c r="X16">
        <f t="shared" si="9"/>
        <v>0.15239999999999998</v>
      </c>
      <c r="Y16">
        <v>10.4</v>
      </c>
      <c r="AA16">
        <f t="shared" si="17"/>
        <v>18</v>
      </c>
      <c r="AB16">
        <f t="shared" si="10"/>
        <v>6</v>
      </c>
      <c r="AC16">
        <f t="shared" si="11"/>
        <v>0.15239999999999998</v>
      </c>
      <c r="AD16">
        <v>10.199999999999999</v>
      </c>
    </row>
    <row r="17" spans="1:30" x14ac:dyDescent="0.5">
      <c r="A17">
        <f t="shared" si="12"/>
        <v>9.25</v>
      </c>
      <c r="B17">
        <f t="shared" si="0"/>
        <v>3.25</v>
      </c>
      <c r="C17">
        <f t="shared" si="1"/>
        <v>8.2549999999999998E-2</v>
      </c>
      <c r="D17">
        <v>11</v>
      </c>
      <c r="F17">
        <f t="shared" si="13"/>
        <v>9.25</v>
      </c>
      <c r="G17">
        <f t="shared" si="2"/>
        <v>3.25</v>
      </c>
      <c r="H17">
        <f t="shared" si="3"/>
        <v>8.2549999999999998E-2</v>
      </c>
      <c r="I17">
        <v>10.199999999999999</v>
      </c>
      <c r="K17">
        <f t="shared" si="14"/>
        <v>9.25</v>
      </c>
      <c r="L17">
        <f t="shared" si="4"/>
        <v>3.25</v>
      </c>
      <c r="M17">
        <f t="shared" si="5"/>
        <v>8.2549999999999998E-2</v>
      </c>
      <c r="N17">
        <v>9.8000000000000007</v>
      </c>
      <c r="Q17">
        <f t="shared" si="15"/>
        <v>18.5</v>
      </c>
      <c r="R17">
        <f t="shared" si="6"/>
        <v>6.5</v>
      </c>
      <c r="S17">
        <f t="shared" si="7"/>
        <v>0.1651</v>
      </c>
      <c r="T17">
        <v>12.4</v>
      </c>
      <c r="V17">
        <f t="shared" si="16"/>
        <v>18.5</v>
      </c>
      <c r="W17">
        <f t="shared" si="8"/>
        <v>6.5</v>
      </c>
      <c r="X17">
        <f t="shared" si="9"/>
        <v>0.1651</v>
      </c>
      <c r="Y17">
        <v>10.8</v>
      </c>
      <c r="AA17">
        <f t="shared" si="17"/>
        <v>18.5</v>
      </c>
      <c r="AB17">
        <f t="shared" si="10"/>
        <v>6.5</v>
      </c>
      <c r="AC17">
        <f t="shared" si="11"/>
        <v>0.1651</v>
      </c>
      <c r="AD17">
        <v>10.8</v>
      </c>
    </row>
    <row r="18" spans="1:30" x14ac:dyDescent="0.5">
      <c r="A18">
        <f t="shared" si="12"/>
        <v>9.5</v>
      </c>
      <c r="B18">
        <f t="shared" si="0"/>
        <v>3.5</v>
      </c>
      <c r="C18">
        <f t="shared" si="1"/>
        <v>8.8899999999999993E-2</v>
      </c>
      <c r="D18">
        <v>11.4</v>
      </c>
      <c r="F18">
        <f t="shared" si="13"/>
        <v>9.5</v>
      </c>
      <c r="G18">
        <f t="shared" si="2"/>
        <v>3.5</v>
      </c>
      <c r="H18">
        <f t="shared" si="3"/>
        <v>8.8899999999999993E-2</v>
      </c>
      <c r="I18">
        <v>10.8</v>
      </c>
      <c r="K18">
        <f t="shared" si="14"/>
        <v>9.5</v>
      </c>
      <c r="L18">
        <f t="shared" si="4"/>
        <v>3.5</v>
      </c>
      <c r="M18">
        <f t="shared" si="5"/>
        <v>8.8899999999999993E-2</v>
      </c>
      <c r="N18">
        <v>10.199999999999999</v>
      </c>
      <c r="Q18">
        <f t="shared" si="15"/>
        <v>19</v>
      </c>
      <c r="R18">
        <f t="shared" si="6"/>
        <v>7</v>
      </c>
      <c r="S18">
        <f t="shared" si="7"/>
        <v>0.17779999999999999</v>
      </c>
      <c r="T18">
        <v>13</v>
      </c>
      <c r="V18">
        <f t="shared" si="16"/>
        <v>19</v>
      </c>
      <c r="W18">
        <f t="shared" si="8"/>
        <v>7</v>
      </c>
      <c r="X18">
        <f t="shared" si="9"/>
        <v>0.17779999999999999</v>
      </c>
      <c r="Y18">
        <v>11.4</v>
      </c>
      <c r="AA18">
        <f t="shared" si="17"/>
        <v>19</v>
      </c>
      <c r="AB18">
        <f t="shared" si="10"/>
        <v>7</v>
      </c>
      <c r="AC18">
        <f t="shared" si="11"/>
        <v>0.17779999999999999</v>
      </c>
      <c r="AD18">
        <v>11.2</v>
      </c>
    </row>
    <row r="19" spans="1:30" x14ac:dyDescent="0.5">
      <c r="A19">
        <f t="shared" si="12"/>
        <v>9.75</v>
      </c>
      <c r="B19">
        <f t="shared" si="0"/>
        <v>3.75</v>
      </c>
      <c r="C19">
        <f t="shared" si="1"/>
        <v>9.5250000000000001E-2</v>
      </c>
      <c r="D19">
        <v>11.8</v>
      </c>
      <c r="F19">
        <f t="shared" si="13"/>
        <v>9.75</v>
      </c>
      <c r="G19">
        <f t="shared" si="2"/>
        <v>3.75</v>
      </c>
      <c r="H19">
        <f t="shared" si="3"/>
        <v>9.5250000000000001E-2</v>
      </c>
      <c r="I19">
        <v>11</v>
      </c>
      <c r="K19">
        <f t="shared" si="14"/>
        <v>9.75</v>
      </c>
      <c r="L19">
        <f t="shared" si="4"/>
        <v>3.75</v>
      </c>
      <c r="M19">
        <f t="shared" si="5"/>
        <v>9.5250000000000001E-2</v>
      </c>
      <c r="N19">
        <v>10.6</v>
      </c>
      <c r="Q19">
        <f t="shared" si="15"/>
        <v>19.5</v>
      </c>
      <c r="R19">
        <f t="shared" si="6"/>
        <v>7.5</v>
      </c>
      <c r="S19">
        <f>R19*0.0254</f>
        <v>0.1905</v>
      </c>
      <c r="T19">
        <v>13.4</v>
      </c>
      <c r="V19">
        <f t="shared" si="16"/>
        <v>19.5</v>
      </c>
      <c r="W19">
        <f t="shared" si="8"/>
        <v>7.5</v>
      </c>
      <c r="X19">
        <f>W19*0.0254</f>
        <v>0.1905</v>
      </c>
      <c r="Y19">
        <v>11.8</v>
      </c>
      <c r="AA19">
        <f t="shared" si="17"/>
        <v>19.5</v>
      </c>
      <c r="AB19">
        <f t="shared" si="10"/>
        <v>7.5</v>
      </c>
      <c r="AC19">
        <f>AB19*0.0254</f>
        <v>0.1905</v>
      </c>
      <c r="AD19">
        <v>11.6</v>
      </c>
    </row>
    <row r="20" spans="1:30" x14ac:dyDescent="0.5">
      <c r="A20">
        <f t="shared" si="12"/>
        <v>10</v>
      </c>
      <c r="B20">
        <f t="shared" si="0"/>
        <v>4</v>
      </c>
      <c r="C20">
        <f t="shared" si="1"/>
        <v>0.1016</v>
      </c>
      <c r="D20">
        <v>12.2</v>
      </c>
      <c r="F20">
        <f t="shared" si="13"/>
        <v>10</v>
      </c>
      <c r="G20">
        <f t="shared" si="2"/>
        <v>4</v>
      </c>
      <c r="H20">
        <f t="shared" si="3"/>
        <v>0.1016</v>
      </c>
      <c r="I20">
        <v>11.6</v>
      </c>
      <c r="K20">
        <f t="shared" si="14"/>
        <v>10</v>
      </c>
      <c r="L20">
        <f t="shared" si="4"/>
        <v>4</v>
      </c>
      <c r="M20">
        <f t="shared" si="5"/>
        <v>0.1016</v>
      </c>
      <c r="N20">
        <v>11</v>
      </c>
      <c r="Q20">
        <f t="shared" si="15"/>
        <v>20</v>
      </c>
      <c r="R20">
        <f t="shared" si="6"/>
        <v>8</v>
      </c>
      <c r="S20">
        <f t="shared" si="7"/>
        <v>0.20319999999999999</v>
      </c>
      <c r="T20">
        <v>13.8</v>
      </c>
      <c r="V20">
        <f t="shared" si="16"/>
        <v>20</v>
      </c>
      <c r="W20">
        <f t="shared" si="8"/>
        <v>8</v>
      </c>
      <c r="X20">
        <f t="shared" si="9"/>
        <v>0.20319999999999999</v>
      </c>
      <c r="Y20">
        <v>12.2</v>
      </c>
      <c r="AA20">
        <f t="shared" si="17"/>
        <v>20</v>
      </c>
      <c r="AB20">
        <f t="shared" si="10"/>
        <v>8</v>
      </c>
      <c r="AC20">
        <f t="shared" si="11"/>
        <v>0.20319999999999999</v>
      </c>
      <c r="AD20">
        <v>12</v>
      </c>
    </row>
    <row r="21" spans="1:30" x14ac:dyDescent="0.5">
      <c r="A21">
        <f t="shared" si="12"/>
        <v>10.25</v>
      </c>
      <c r="B21">
        <f t="shared" si="0"/>
        <v>4.25</v>
      </c>
      <c r="C21">
        <f t="shared" si="1"/>
        <v>0.10794999999999999</v>
      </c>
      <c r="D21">
        <v>13</v>
      </c>
      <c r="F21">
        <f t="shared" si="13"/>
        <v>10.25</v>
      </c>
      <c r="G21">
        <f t="shared" si="2"/>
        <v>4.25</v>
      </c>
      <c r="H21">
        <f t="shared" si="3"/>
        <v>0.10794999999999999</v>
      </c>
      <c r="I21">
        <v>11.8</v>
      </c>
      <c r="K21">
        <f t="shared" si="14"/>
        <v>10.25</v>
      </c>
      <c r="L21">
        <f t="shared" si="4"/>
        <v>4.25</v>
      </c>
      <c r="M21">
        <f t="shared" si="5"/>
        <v>0.10794999999999999</v>
      </c>
      <c r="N21">
        <v>11.4</v>
      </c>
      <c r="Q21">
        <f t="shared" si="15"/>
        <v>20.5</v>
      </c>
      <c r="R21">
        <f t="shared" si="6"/>
        <v>8.5</v>
      </c>
      <c r="S21">
        <f t="shared" si="7"/>
        <v>0.21589999999999998</v>
      </c>
      <c r="T21">
        <v>14.2</v>
      </c>
      <c r="V21">
        <f t="shared" si="16"/>
        <v>20.5</v>
      </c>
      <c r="W21">
        <f t="shared" si="8"/>
        <v>8.5</v>
      </c>
      <c r="X21">
        <f t="shared" si="9"/>
        <v>0.21589999999999998</v>
      </c>
      <c r="Y21">
        <v>12.6</v>
      </c>
      <c r="AA21">
        <f t="shared" si="17"/>
        <v>20.5</v>
      </c>
      <c r="AB21">
        <f t="shared" si="10"/>
        <v>8.5</v>
      </c>
      <c r="AC21">
        <f t="shared" si="11"/>
        <v>0.21589999999999998</v>
      </c>
      <c r="AD21">
        <v>12.4</v>
      </c>
    </row>
    <row r="22" spans="1:30" x14ac:dyDescent="0.5">
      <c r="A22">
        <f t="shared" si="12"/>
        <v>10.5</v>
      </c>
      <c r="B22">
        <f t="shared" si="0"/>
        <v>4.5</v>
      </c>
      <c r="C22">
        <f t="shared" si="1"/>
        <v>0.1143</v>
      </c>
      <c r="D22">
        <v>13.8</v>
      </c>
      <c r="F22">
        <f t="shared" si="13"/>
        <v>10.5</v>
      </c>
      <c r="G22">
        <f t="shared" si="2"/>
        <v>4.5</v>
      </c>
      <c r="H22">
        <f t="shared" si="3"/>
        <v>0.1143</v>
      </c>
      <c r="I22">
        <v>12.4</v>
      </c>
      <c r="K22">
        <f t="shared" si="14"/>
        <v>10.5</v>
      </c>
      <c r="L22">
        <f t="shared" si="4"/>
        <v>4.5</v>
      </c>
      <c r="M22">
        <f t="shared" si="5"/>
        <v>0.1143</v>
      </c>
      <c r="N22">
        <v>12</v>
      </c>
      <c r="Q22">
        <f t="shared" si="15"/>
        <v>21</v>
      </c>
      <c r="R22">
        <f t="shared" si="6"/>
        <v>9</v>
      </c>
      <c r="S22">
        <f t="shared" si="7"/>
        <v>0.2286</v>
      </c>
      <c r="T22">
        <v>14.8</v>
      </c>
      <c r="V22">
        <f t="shared" si="16"/>
        <v>21</v>
      </c>
      <c r="W22">
        <f t="shared" si="8"/>
        <v>9</v>
      </c>
      <c r="X22">
        <f t="shared" si="9"/>
        <v>0.2286</v>
      </c>
      <c r="Y22">
        <v>13.2</v>
      </c>
      <c r="AA22">
        <f t="shared" si="17"/>
        <v>21</v>
      </c>
      <c r="AB22">
        <f t="shared" si="10"/>
        <v>9</v>
      </c>
      <c r="AC22">
        <f t="shared" si="11"/>
        <v>0.2286</v>
      </c>
      <c r="AD22">
        <v>12.8</v>
      </c>
    </row>
    <row r="23" spans="1:30" x14ac:dyDescent="0.5">
      <c r="A23">
        <f t="shared" si="12"/>
        <v>10.75</v>
      </c>
      <c r="B23">
        <f t="shared" si="0"/>
        <v>4.75</v>
      </c>
      <c r="C23">
        <f t="shared" si="1"/>
        <v>0.12064999999999999</v>
      </c>
      <c r="D23">
        <v>14.2</v>
      </c>
      <c r="F23">
        <f t="shared" si="13"/>
        <v>10.75</v>
      </c>
      <c r="G23">
        <f t="shared" si="2"/>
        <v>4.75</v>
      </c>
      <c r="H23">
        <f t="shared" si="3"/>
        <v>0.12064999999999999</v>
      </c>
      <c r="I23">
        <v>12.8</v>
      </c>
      <c r="K23">
        <f t="shared" si="14"/>
        <v>10.75</v>
      </c>
      <c r="L23">
        <f t="shared" si="4"/>
        <v>4.75</v>
      </c>
      <c r="M23">
        <f t="shared" si="5"/>
        <v>0.12064999999999999</v>
      </c>
      <c r="N23">
        <v>12.2</v>
      </c>
      <c r="Q23">
        <f t="shared" si="15"/>
        <v>21.5</v>
      </c>
      <c r="R23">
        <f t="shared" si="6"/>
        <v>9.5</v>
      </c>
      <c r="S23">
        <f t="shared" si="7"/>
        <v>0.24129999999999999</v>
      </c>
      <c r="T23">
        <v>15.2</v>
      </c>
      <c r="V23">
        <f t="shared" si="16"/>
        <v>21.5</v>
      </c>
      <c r="W23">
        <f t="shared" si="8"/>
        <v>9.5</v>
      </c>
      <c r="X23">
        <f t="shared" si="9"/>
        <v>0.24129999999999999</v>
      </c>
      <c r="Y23">
        <v>13.4</v>
      </c>
      <c r="AA23">
        <f t="shared" si="17"/>
        <v>21.5</v>
      </c>
      <c r="AB23">
        <f t="shared" si="10"/>
        <v>9.5</v>
      </c>
      <c r="AC23">
        <f t="shared" si="11"/>
        <v>0.24129999999999999</v>
      </c>
      <c r="AD23">
        <v>13.4</v>
      </c>
    </row>
    <row r="24" spans="1:30" x14ac:dyDescent="0.5">
      <c r="A24">
        <f t="shared" si="12"/>
        <v>11</v>
      </c>
      <c r="B24">
        <f t="shared" si="0"/>
        <v>5</v>
      </c>
      <c r="C24">
        <f t="shared" si="1"/>
        <v>0.127</v>
      </c>
      <c r="D24">
        <v>14.6</v>
      </c>
      <c r="F24">
        <f t="shared" si="13"/>
        <v>11</v>
      </c>
      <c r="G24">
        <f t="shared" si="2"/>
        <v>5</v>
      </c>
      <c r="H24">
        <f t="shared" si="3"/>
        <v>0.127</v>
      </c>
      <c r="I24">
        <v>13</v>
      </c>
      <c r="K24">
        <f t="shared" si="14"/>
        <v>11</v>
      </c>
      <c r="L24">
        <f t="shared" si="4"/>
        <v>5</v>
      </c>
      <c r="M24">
        <f t="shared" si="5"/>
        <v>0.127</v>
      </c>
      <c r="N24">
        <v>12.8</v>
      </c>
      <c r="Q24">
        <f t="shared" si="15"/>
        <v>22</v>
      </c>
      <c r="R24">
        <f t="shared" si="6"/>
        <v>10</v>
      </c>
      <c r="S24">
        <f t="shared" si="7"/>
        <v>0.254</v>
      </c>
      <c r="T24">
        <v>15.6</v>
      </c>
      <c r="V24">
        <f t="shared" si="16"/>
        <v>22</v>
      </c>
      <c r="W24">
        <f t="shared" si="8"/>
        <v>10</v>
      </c>
      <c r="X24">
        <f t="shared" si="9"/>
        <v>0.254</v>
      </c>
      <c r="Y24">
        <v>13.6</v>
      </c>
      <c r="AA24">
        <f t="shared" si="17"/>
        <v>22</v>
      </c>
      <c r="AB24">
        <f t="shared" si="10"/>
        <v>10</v>
      </c>
      <c r="AC24">
        <f t="shared" si="11"/>
        <v>0.254</v>
      </c>
      <c r="AD24">
        <v>13.8</v>
      </c>
    </row>
    <row r="25" spans="1:30" x14ac:dyDescent="0.5">
      <c r="A25">
        <f t="shared" si="12"/>
        <v>11.25</v>
      </c>
      <c r="B25">
        <f t="shared" si="0"/>
        <v>5.25</v>
      </c>
      <c r="C25">
        <f t="shared" si="1"/>
        <v>0.13335</v>
      </c>
      <c r="D25">
        <v>14.8</v>
      </c>
      <c r="F25">
        <f t="shared" si="13"/>
        <v>11.25</v>
      </c>
      <c r="G25">
        <f t="shared" si="2"/>
        <v>5.25</v>
      </c>
      <c r="H25">
        <f t="shared" si="3"/>
        <v>0.13335</v>
      </c>
      <c r="I25">
        <v>13.4</v>
      </c>
      <c r="K25">
        <f t="shared" si="14"/>
        <v>11.25</v>
      </c>
      <c r="L25">
        <f t="shared" si="4"/>
        <v>5.25</v>
      </c>
      <c r="M25">
        <f t="shared" si="5"/>
        <v>0.13335</v>
      </c>
      <c r="N25">
        <v>13</v>
      </c>
      <c r="Q25">
        <f t="shared" si="15"/>
        <v>22.5</v>
      </c>
      <c r="R25">
        <f t="shared" si="6"/>
        <v>10.5</v>
      </c>
      <c r="S25">
        <f t="shared" si="7"/>
        <v>0.26669999999999999</v>
      </c>
      <c r="T25">
        <v>16</v>
      </c>
      <c r="V25">
        <f t="shared" si="16"/>
        <v>22.5</v>
      </c>
      <c r="W25">
        <f t="shared" si="8"/>
        <v>10.5</v>
      </c>
      <c r="X25">
        <f t="shared" si="9"/>
        <v>0.26669999999999999</v>
      </c>
      <c r="Y25">
        <v>14.4</v>
      </c>
      <c r="AA25">
        <f t="shared" si="17"/>
        <v>22.5</v>
      </c>
      <c r="AB25">
        <f t="shared" si="10"/>
        <v>10.5</v>
      </c>
      <c r="AC25">
        <f t="shared" si="11"/>
        <v>0.26669999999999999</v>
      </c>
      <c r="AD25">
        <v>14</v>
      </c>
    </row>
    <row r="26" spans="1:30" x14ac:dyDescent="0.5">
      <c r="A26">
        <f t="shared" si="12"/>
        <v>11.5</v>
      </c>
      <c r="B26">
        <f t="shared" si="0"/>
        <v>5.5</v>
      </c>
      <c r="C26">
        <f t="shared" si="1"/>
        <v>0.13969999999999999</v>
      </c>
      <c r="D26">
        <v>15</v>
      </c>
      <c r="F26">
        <f t="shared" si="13"/>
        <v>11.5</v>
      </c>
      <c r="G26">
        <f t="shared" si="2"/>
        <v>5.5</v>
      </c>
      <c r="H26">
        <f t="shared" si="3"/>
        <v>0.13969999999999999</v>
      </c>
      <c r="I26">
        <v>13.8</v>
      </c>
      <c r="K26">
        <f t="shared" si="14"/>
        <v>11.5</v>
      </c>
      <c r="L26">
        <f t="shared" si="4"/>
        <v>5.5</v>
      </c>
      <c r="M26">
        <f t="shared" si="5"/>
        <v>0.13969999999999999</v>
      </c>
      <c r="N26">
        <v>13.4</v>
      </c>
      <c r="Q26">
        <f t="shared" si="15"/>
        <v>23</v>
      </c>
      <c r="R26">
        <f t="shared" si="6"/>
        <v>11</v>
      </c>
      <c r="S26">
        <f t="shared" si="7"/>
        <v>0.27939999999999998</v>
      </c>
      <c r="T26">
        <v>16.399999999999999</v>
      </c>
      <c r="V26">
        <f t="shared" si="16"/>
        <v>23</v>
      </c>
      <c r="W26">
        <f t="shared" si="8"/>
        <v>11</v>
      </c>
      <c r="X26">
        <f t="shared" si="9"/>
        <v>0.27939999999999998</v>
      </c>
      <c r="Y26">
        <v>14.6</v>
      </c>
      <c r="AA26">
        <f t="shared" si="17"/>
        <v>23</v>
      </c>
      <c r="AB26">
        <f t="shared" si="10"/>
        <v>11</v>
      </c>
      <c r="AC26">
        <f t="shared" si="11"/>
        <v>0.27939999999999998</v>
      </c>
      <c r="AD26">
        <v>14.6</v>
      </c>
    </row>
    <row r="27" spans="1:30" x14ac:dyDescent="0.5">
      <c r="A27">
        <f t="shared" si="12"/>
        <v>11.75</v>
      </c>
      <c r="B27">
        <f t="shared" si="0"/>
        <v>5.75</v>
      </c>
      <c r="C27">
        <f t="shared" si="1"/>
        <v>0.14604999999999999</v>
      </c>
      <c r="D27">
        <v>15.2</v>
      </c>
      <c r="F27">
        <f t="shared" si="13"/>
        <v>11.75</v>
      </c>
      <c r="G27">
        <f t="shared" si="2"/>
        <v>5.75</v>
      </c>
      <c r="H27">
        <f t="shared" si="3"/>
        <v>0.14604999999999999</v>
      </c>
      <c r="I27">
        <v>14</v>
      </c>
      <c r="K27">
        <f t="shared" si="14"/>
        <v>11.75</v>
      </c>
      <c r="L27">
        <f t="shared" si="4"/>
        <v>5.75</v>
      </c>
      <c r="M27">
        <f t="shared" si="5"/>
        <v>0.14604999999999999</v>
      </c>
      <c r="N27">
        <v>13.8</v>
      </c>
      <c r="Q27">
        <f t="shared" si="15"/>
        <v>23.5</v>
      </c>
      <c r="R27">
        <f t="shared" si="6"/>
        <v>11.5</v>
      </c>
      <c r="S27">
        <f t="shared" si="7"/>
        <v>0.29209999999999997</v>
      </c>
      <c r="T27">
        <v>16.8</v>
      </c>
      <c r="V27">
        <f t="shared" si="16"/>
        <v>23.5</v>
      </c>
      <c r="W27">
        <f t="shared" si="8"/>
        <v>11.5</v>
      </c>
      <c r="X27">
        <f t="shared" si="9"/>
        <v>0.29209999999999997</v>
      </c>
      <c r="Y27">
        <v>15.2</v>
      </c>
      <c r="AA27">
        <f t="shared" si="17"/>
        <v>23.5</v>
      </c>
      <c r="AB27">
        <f t="shared" si="10"/>
        <v>11.5</v>
      </c>
      <c r="AC27">
        <f t="shared" si="11"/>
        <v>0.29209999999999997</v>
      </c>
      <c r="AD27">
        <v>15</v>
      </c>
    </row>
    <row r="28" spans="1:30" x14ac:dyDescent="0.5">
      <c r="A28">
        <f t="shared" si="12"/>
        <v>12</v>
      </c>
      <c r="B28">
        <f t="shared" si="0"/>
        <v>6</v>
      </c>
      <c r="C28">
        <f t="shared" si="1"/>
        <v>0.15239999999999998</v>
      </c>
      <c r="D28">
        <v>15.4</v>
      </c>
      <c r="F28">
        <f t="shared" si="13"/>
        <v>12</v>
      </c>
      <c r="G28">
        <f t="shared" si="2"/>
        <v>6</v>
      </c>
      <c r="H28">
        <f t="shared" si="3"/>
        <v>0.15239999999999998</v>
      </c>
      <c r="I28">
        <v>14.6</v>
      </c>
      <c r="K28">
        <f t="shared" si="14"/>
        <v>12</v>
      </c>
      <c r="L28">
        <f t="shared" si="4"/>
        <v>6</v>
      </c>
      <c r="M28">
        <f t="shared" si="5"/>
        <v>0.15239999999999998</v>
      </c>
      <c r="N28">
        <v>14.2</v>
      </c>
      <c r="Q28">
        <f t="shared" si="15"/>
        <v>24</v>
      </c>
      <c r="R28">
        <f t="shared" si="6"/>
        <v>12</v>
      </c>
      <c r="S28">
        <f t="shared" si="7"/>
        <v>0.30479999999999996</v>
      </c>
      <c r="T28">
        <v>17.2</v>
      </c>
      <c r="V28">
        <f t="shared" si="16"/>
        <v>24</v>
      </c>
      <c r="W28">
        <f t="shared" si="8"/>
        <v>12</v>
      </c>
      <c r="X28">
        <f t="shared" si="9"/>
        <v>0.30479999999999996</v>
      </c>
      <c r="Y28">
        <v>15.6</v>
      </c>
      <c r="AA28">
        <f t="shared" si="17"/>
        <v>24</v>
      </c>
      <c r="AB28">
        <f t="shared" si="10"/>
        <v>12</v>
      </c>
      <c r="AC28">
        <f t="shared" si="11"/>
        <v>0.30479999999999996</v>
      </c>
      <c r="AD28">
        <v>15.4</v>
      </c>
    </row>
    <row r="29" spans="1:30" x14ac:dyDescent="0.5">
      <c r="A29">
        <f t="shared" si="12"/>
        <v>12.25</v>
      </c>
      <c r="B29">
        <f t="shared" si="0"/>
        <v>6.25</v>
      </c>
      <c r="C29">
        <f t="shared" si="1"/>
        <v>0.15875</v>
      </c>
      <c r="D29">
        <v>15.8</v>
      </c>
      <c r="F29">
        <f t="shared" si="13"/>
        <v>12.25</v>
      </c>
      <c r="G29">
        <f t="shared" si="2"/>
        <v>6.25</v>
      </c>
      <c r="H29">
        <f t="shared" si="3"/>
        <v>0.15875</v>
      </c>
      <c r="I29">
        <v>14.8</v>
      </c>
      <c r="K29">
        <f t="shared" si="14"/>
        <v>12.25</v>
      </c>
      <c r="L29">
        <f t="shared" si="4"/>
        <v>6.25</v>
      </c>
      <c r="M29">
        <f t="shared" si="5"/>
        <v>0.15875</v>
      </c>
      <c r="N29">
        <v>14.4</v>
      </c>
      <c r="Q29">
        <f t="shared" si="15"/>
        <v>24.5</v>
      </c>
      <c r="R29">
        <f t="shared" si="6"/>
        <v>12.5</v>
      </c>
      <c r="S29">
        <f t="shared" si="7"/>
        <v>0.3175</v>
      </c>
      <c r="T29">
        <v>17.600000000000001</v>
      </c>
      <c r="V29">
        <f t="shared" si="16"/>
        <v>24.5</v>
      </c>
      <c r="W29">
        <f t="shared" si="8"/>
        <v>12.5</v>
      </c>
      <c r="X29">
        <f t="shared" si="9"/>
        <v>0.3175</v>
      </c>
      <c r="Y29">
        <v>16</v>
      </c>
      <c r="AA29">
        <f t="shared" si="17"/>
        <v>24.5</v>
      </c>
      <c r="AB29">
        <f t="shared" si="10"/>
        <v>12.5</v>
      </c>
      <c r="AC29">
        <f t="shared" si="11"/>
        <v>0.3175</v>
      </c>
      <c r="AD29">
        <v>15.8</v>
      </c>
    </row>
    <row r="30" spans="1:30" x14ac:dyDescent="0.5">
      <c r="A30">
        <f t="shared" si="12"/>
        <v>12.5</v>
      </c>
      <c r="B30">
        <f t="shared" si="0"/>
        <v>6.5</v>
      </c>
      <c r="C30">
        <f t="shared" si="1"/>
        <v>0.1651</v>
      </c>
      <c r="D30">
        <v>16.2</v>
      </c>
      <c r="F30">
        <f t="shared" si="13"/>
        <v>12.5</v>
      </c>
      <c r="G30">
        <f t="shared" si="2"/>
        <v>6.5</v>
      </c>
      <c r="H30">
        <f t="shared" si="3"/>
        <v>0.1651</v>
      </c>
      <c r="I30">
        <v>15.2</v>
      </c>
      <c r="K30">
        <f t="shared" si="14"/>
        <v>12.5</v>
      </c>
      <c r="L30">
        <f t="shared" si="4"/>
        <v>6.5</v>
      </c>
      <c r="M30">
        <f t="shared" si="5"/>
        <v>0.1651</v>
      </c>
      <c r="N30">
        <v>14.8</v>
      </c>
      <c r="Q30">
        <f t="shared" si="15"/>
        <v>25</v>
      </c>
      <c r="R30">
        <f t="shared" si="6"/>
        <v>13</v>
      </c>
      <c r="S30">
        <f t="shared" si="7"/>
        <v>0.33019999999999999</v>
      </c>
      <c r="T30">
        <v>18</v>
      </c>
      <c r="V30">
        <f t="shared" si="16"/>
        <v>25</v>
      </c>
      <c r="W30">
        <f t="shared" si="8"/>
        <v>13</v>
      </c>
      <c r="X30">
        <f t="shared" si="9"/>
        <v>0.33019999999999999</v>
      </c>
      <c r="Y30">
        <v>16.399999999999999</v>
      </c>
      <c r="AA30">
        <f t="shared" si="17"/>
        <v>25</v>
      </c>
      <c r="AB30">
        <f t="shared" si="10"/>
        <v>13</v>
      </c>
      <c r="AC30">
        <f t="shared" si="11"/>
        <v>0.33019999999999999</v>
      </c>
      <c r="AD30">
        <v>16.2</v>
      </c>
    </row>
    <row r="31" spans="1:30" x14ac:dyDescent="0.5">
      <c r="A31">
        <f t="shared" si="12"/>
        <v>12.75</v>
      </c>
      <c r="B31">
        <f t="shared" si="0"/>
        <v>6.75</v>
      </c>
      <c r="C31">
        <f t="shared" si="1"/>
        <v>0.17144999999999999</v>
      </c>
      <c r="D31">
        <v>16.600000000000001</v>
      </c>
      <c r="F31">
        <f t="shared" si="13"/>
        <v>12.75</v>
      </c>
      <c r="G31">
        <f t="shared" si="2"/>
        <v>6.75</v>
      </c>
      <c r="H31">
        <f t="shared" si="3"/>
        <v>0.17144999999999999</v>
      </c>
      <c r="I31">
        <v>15.6</v>
      </c>
      <c r="K31">
        <f t="shared" si="14"/>
        <v>12.75</v>
      </c>
      <c r="L31">
        <f t="shared" si="4"/>
        <v>6.75</v>
      </c>
      <c r="M31">
        <f t="shared" si="5"/>
        <v>0.17144999999999999</v>
      </c>
      <c r="N31">
        <v>15</v>
      </c>
      <c r="Q31">
        <f t="shared" si="15"/>
        <v>25.5</v>
      </c>
      <c r="R31">
        <f t="shared" si="6"/>
        <v>13.5</v>
      </c>
      <c r="S31">
        <f t="shared" si="7"/>
        <v>0.34289999999999998</v>
      </c>
      <c r="T31">
        <v>18.2</v>
      </c>
      <c r="V31">
        <f t="shared" si="16"/>
        <v>25.5</v>
      </c>
      <c r="W31">
        <f t="shared" si="8"/>
        <v>13.5</v>
      </c>
      <c r="X31">
        <f t="shared" si="9"/>
        <v>0.34289999999999998</v>
      </c>
      <c r="Y31">
        <v>16.600000000000001</v>
      </c>
      <c r="AA31">
        <f t="shared" si="17"/>
        <v>25.5</v>
      </c>
      <c r="AB31">
        <f t="shared" si="10"/>
        <v>13.5</v>
      </c>
      <c r="AC31">
        <f t="shared" si="11"/>
        <v>0.34289999999999998</v>
      </c>
      <c r="AD31">
        <v>16.399999999999999</v>
      </c>
    </row>
    <row r="32" spans="1:30" x14ac:dyDescent="0.5">
      <c r="A32">
        <f t="shared" si="12"/>
        <v>13</v>
      </c>
      <c r="B32">
        <f t="shared" si="0"/>
        <v>7</v>
      </c>
      <c r="C32">
        <f t="shared" si="1"/>
        <v>0.17779999999999999</v>
      </c>
      <c r="D32">
        <v>17</v>
      </c>
      <c r="F32">
        <f t="shared" si="13"/>
        <v>13</v>
      </c>
      <c r="G32">
        <f t="shared" si="2"/>
        <v>7</v>
      </c>
      <c r="H32">
        <f t="shared" si="3"/>
        <v>0.17779999999999999</v>
      </c>
      <c r="I32">
        <v>16</v>
      </c>
      <c r="K32">
        <f t="shared" si="14"/>
        <v>13</v>
      </c>
      <c r="L32">
        <f t="shared" si="4"/>
        <v>7</v>
      </c>
      <c r="M32">
        <f t="shared" si="5"/>
        <v>0.17779999999999999</v>
      </c>
      <c r="N32">
        <v>15.2</v>
      </c>
      <c r="Q32">
        <f t="shared" si="15"/>
        <v>26</v>
      </c>
      <c r="R32">
        <f t="shared" si="6"/>
        <v>14</v>
      </c>
      <c r="S32">
        <f t="shared" si="7"/>
        <v>0.35559999999999997</v>
      </c>
      <c r="T32">
        <v>18.399999999999999</v>
      </c>
      <c r="V32">
        <f t="shared" si="16"/>
        <v>26</v>
      </c>
      <c r="W32">
        <f t="shared" si="8"/>
        <v>14</v>
      </c>
      <c r="X32">
        <f t="shared" si="9"/>
        <v>0.35559999999999997</v>
      </c>
      <c r="Y32">
        <v>17</v>
      </c>
      <c r="AA32">
        <f t="shared" si="17"/>
        <v>26</v>
      </c>
      <c r="AB32">
        <f t="shared" si="10"/>
        <v>14</v>
      </c>
      <c r="AC32">
        <f t="shared" si="11"/>
        <v>0.35559999999999997</v>
      </c>
      <c r="AD32">
        <v>16.8</v>
      </c>
    </row>
    <row r="33" spans="1:30" x14ac:dyDescent="0.5">
      <c r="A33">
        <f t="shared" si="12"/>
        <v>13.25</v>
      </c>
      <c r="B33">
        <f t="shared" si="0"/>
        <v>7.25</v>
      </c>
      <c r="C33">
        <f t="shared" si="1"/>
        <v>0.18414999999999998</v>
      </c>
      <c r="D33">
        <v>17.399999999999999</v>
      </c>
      <c r="F33">
        <f t="shared" si="13"/>
        <v>13.25</v>
      </c>
      <c r="G33">
        <f t="shared" si="2"/>
        <v>7.25</v>
      </c>
      <c r="H33">
        <f t="shared" si="3"/>
        <v>0.18414999999999998</v>
      </c>
      <c r="I33">
        <v>16.2</v>
      </c>
      <c r="K33">
        <f t="shared" si="14"/>
        <v>13.25</v>
      </c>
      <c r="L33">
        <f t="shared" si="4"/>
        <v>7.25</v>
      </c>
      <c r="M33">
        <f t="shared" si="5"/>
        <v>0.18414999999999998</v>
      </c>
      <c r="N33">
        <v>15.6</v>
      </c>
      <c r="Q33">
        <f t="shared" si="15"/>
        <v>26.5</v>
      </c>
      <c r="R33">
        <f t="shared" si="6"/>
        <v>14.5</v>
      </c>
      <c r="S33">
        <f t="shared" si="7"/>
        <v>0.36829999999999996</v>
      </c>
      <c r="T33">
        <v>19</v>
      </c>
      <c r="V33">
        <f t="shared" si="16"/>
        <v>26.5</v>
      </c>
      <c r="W33">
        <f t="shared" si="8"/>
        <v>14.5</v>
      </c>
      <c r="X33">
        <f t="shared" si="9"/>
        <v>0.36829999999999996</v>
      </c>
      <c r="Y33">
        <v>17.399999999999999</v>
      </c>
      <c r="AA33">
        <f t="shared" si="17"/>
        <v>26.5</v>
      </c>
      <c r="AB33">
        <f t="shared" si="10"/>
        <v>14.5</v>
      </c>
      <c r="AC33">
        <f t="shared" si="11"/>
        <v>0.36829999999999996</v>
      </c>
      <c r="AD33">
        <v>17.399999999999999</v>
      </c>
    </row>
    <row r="34" spans="1:30" x14ac:dyDescent="0.5">
      <c r="A34">
        <f t="shared" si="12"/>
        <v>13.5</v>
      </c>
      <c r="B34">
        <f t="shared" si="0"/>
        <v>7.5</v>
      </c>
      <c r="C34">
        <f t="shared" si="1"/>
        <v>0.1905</v>
      </c>
      <c r="D34">
        <v>17.8</v>
      </c>
      <c r="F34">
        <f t="shared" si="13"/>
        <v>13.5</v>
      </c>
      <c r="G34">
        <f t="shared" si="2"/>
        <v>7.5</v>
      </c>
      <c r="H34">
        <f t="shared" si="3"/>
        <v>0.1905</v>
      </c>
      <c r="I34">
        <v>16.600000000000001</v>
      </c>
      <c r="K34">
        <f t="shared" si="14"/>
        <v>13.5</v>
      </c>
      <c r="L34">
        <f t="shared" si="4"/>
        <v>7.5</v>
      </c>
      <c r="M34">
        <f t="shared" si="5"/>
        <v>0.1905</v>
      </c>
      <c r="N34">
        <v>16</v>
      </c>
      <c r="Q34">
        <f t="shared" si="15"/>
        <v>27</v>
      </c>
      <c r="R34">
        <f t="shared" si="6"/>
        <v>15</v>
      </c>
      <c r="S34">
        <f t="shared" si="7"/>
        <v>0.38100000000000001</v>
      </c>
      <c r="T34">
        <v>19.399999999999999</v>
      </c>
      <c r="V34">
        <f t="shared" si="16"/>
        <v>27</v>
      </c>
      <c r="W34">
        <f t="shared" si="8"/>
        <v>15</v>
      </c>
      <c r="X34">
        <f t="shared" si="9"/>
        <v>0.38100000000000001</v>
      </c>
      <c r="Y34">
        <v>17.600000000000001</v>
      </c>
      <c r="AA34">
        <f t="shared" si="17"/>
        <v>27</v>
      </c>
      <c r="AB34">
        <f t="shared" si="10"/>
        <v>15</v>
      </c>
      <c r="AC34">
        <f t="shared" si="11"/>
        <v>0.38100000000000001</v>
      </c>
      <c r="AD34">
        <v>17.600000000000001</v>
      </c>
    </row>
    <row r="35" spans="1:30" x14ac:dyDescent="0.5">
      <c r="A35">
        <f>A34+0.25</f>
        <v>13.75</v>
      </c>
      <c r="B35">
        <f t="shared" si="0"/>
        <v>7.75</v>
      </c>
      <c r="C35">
        <f t="shared" si="1"/>
        <v>0.19685</v>
      </c>
      <c r="D35">
        <v>18</v>
      </c>
      <c r="F35">
        <f>F34+0.25</f>
        <v>13.75</v>
      </c>
      <c r="G35">
        <f t="shared" si="2"/>
        <v>7.75</v>
      </c>
      <c r="H35">
        <f t="shared" si="3"/>
        <v>0.19685</v>
      </c>
      <c r="I35">
        <v>16.8</v>
      </c>
      <c r="K35">
        <f>K34+0.25</f>
        <v>13.75</v>
      </c>
      <c r="L35">
        <f t="shared" si="4"/>
        <v>7.75</v>
      </c>
      <c r="M35">
        <f t="shared" si="5"/>
        <v>0.19685</v>
      </c>
      <c r="N35">
        <v>16.2</v>
      </c>
      <c r="Q35">
        <f t="shared" si="15"/>
        <v>27.5</v>
      </c>
      <c r="R35">
        <f t="shared" si="6"/>
        <v>15.5</v>
      </c>
      <c r="S35">
        <f t="shared" si="7"/>
        <v>0.39369999999999999</v>
      </c>
      <c r="T35">
        <v>19.8</v>
      </c>
      <c r="V35">
        <f t="shared" si="16"/>
        <v>27.5</v>
      </c>
      <c r="W35">
        <f t="shared" si="8"/>
        <v>15.5</v>
      </c>
      <c r="X35">
        <f t="shared" si="9"/>
        <v>0.39369999999999999</v>
      </c>
      <c r="Y35">
        <v>18</v>
      </c>
      <c r="AA35">
        <f t="shared" si="17"/>
        <v>27.5</v>
      </c>
      <c r="AB35">
        <f t="shared" si="10"/>
        <v>15.5</v>
      </c>
      <c r="AC35">
        <f t="shared" si="11"/>
        <v>0.39369999999999999</v>
      </c>
      <c r="AD35">
        <v>18.2</v>
      </c>
    </row>
    <row r="36" spans="1:30" x14ac:dyDescent="0.5">
      <c r="A36">
        <f t="shared" si="12"/>
        <v>14</v>
      </c>
      <c r="B36">
        <f t="shared" si="0"/>
        <v>8</v>
      </c>
      <c r="C36">
        <f t="shared" si="1"/>
        <v>0.20319999999999999</v>
      </c>
      <c r="D36">
        <v>18.399999999999999</v>
      </c>
      <c r="F36">
        <f t="shared" si="13"/>
        <v>14</v>
      </c>
      <c r="G36">
        <f t="shared" si="2"/>
        <v>8</v>
      </c>
      <c r="H36">
        <f t="shared" si="3"/>
        <v>0.20319999999999999</v>
      </c>
      <c r="I36">
        <v>17.2</v>
      </c>
      <c r="K36">
        <f t="shared" si="14"/>
        <v>14</v>
      </c>
      <c r="L36">
        <f t="shared" si="4"/>
        <v>8</v>
      </c>
      <c r="M36">
        <f t="shared" si="5"/>
        <v>0.20319999999999999</v>
      </c>
      <c r="N36">
        <v>16.600000000000001</v>
      </c>
      <c r="Q36">
        <f t="shared" si="15"/>
        <v>28</v>
      </c>
      <c r="R36">
        <f t="shared" si="6"/>
        <v>16</v>
      </c>
      <c r="S36">
        <f t="shared" si="7"/>
        <v>0.40639999999999998</v>
      </c>
      <c r="T36">
        <v>20</v>
      </c>
      <c r="V36">
        <f t="shared" si="16"/>
        <v>28</v>
      </c>
      <c r="W36">
        <f t="shared" si="8"/>
        <v>16</v>
      </c>
      <c r="X36">
        <f t="shared" si="9"/>
        <v>0.40639999999999998</v>
      </c>
      <c r="Y36">
        <v>18.399999999999999</v>
      </c>
      <c r="AA36">
        <f t="shared" si="17"/>
        <v>28</v>
      </c>
      <c r="AB36">
        <f t="shared" si="10"/>
        <v>16</v>
      </c>
      <c r="AC36">
        <f t="shared" si="11"/>
        <v>0.40639999999999998</v>
      </c>
      <c r="AD36">
        <v>18.2</v>
      </c>
    </row>
    <row r="37" spans="1:30" x14ac:dyDescent="0.5">
      <c r="A37">
        <f t="shared" si="12"/>
        <v>14.25</v>
      </c>
      <c r="B37">
        <f t="shared" si="0"/>
        <v>8.25</v>
      </c>
      <c r="C37">
        <f t="shared" si="1"/>
        <v>0.20954999999999999</v>
      </c>
      <c r="D37">
        <v>18.8</v>
      </c>
      <c r="F37">
        <f t="shared" si="13"/>
        <v>14.25</v>
      </c>
      <c r="G37">
        <f t="shared" si="2"/>
        <v>8.25</v>
      </c>
      <c r="H37">
        <f t="shared" si="3"/>
        <v>0.20954999999999999</v>
      </c>
      <c r="I37">
        <v>17.600000000000001</v>
      </c>
      <c r="K37">
        <f t="shared" si="14"/>
        <v>14.25</v>
      </c>
      <c r="L37">
        <f t="shared" si="4"/>
        <v>8.25</v>
      </c>
      <c r="M37">
        <f t="shared" si="5"/>
        <v>0.20954999999999999</v>
      </c>
      <c r="N37">
        <v>17</v>
      </c>
      <c r="Q37">
        <f t="shared" si="15"/>
        <v>28.5</v>
      </c>
      <c r="R37">
        <f t="shared" si="6"/>
        <v>16.5</v>
      </c>
      <c r="S37">
        <f t="shared" si="7"/>
        <v>0.41909999999999997</v>
      </c>
      <c r="T37">
        <v>20.399999999999999</v>
      </c>
      <c r="V37">
        <f t="shared" si="16"/>
        <v>28.5</v>
      </c>
      <c r="W37">
        <f t="shared" si="8"/>
        <v>16.5</v>
      </c>
      <c r="X37">
        <f t="shared" si="9"/>
        <v>0.41909999999999997</v>
      </c>
      <c r="Y37">
        <v>18.8</v>
      </c>
      <c r="AA37">
        <f t="shared" si="17"/>
        <v>28.5</v>
      </c>
      <c r="AB37">
        <f t="shared" si="10"/>
        <v>16.5</v>
      </c>
      <c r="AC37">
        <f t="shared" si="11"/>
        <v>0.41909999999999997</v>
      </c>
      <c r="AD37">
        <v>18.600000000000001</v>
      </c>
    </row>
    <row r="38" spans="1:30" x14ac:dyDescent="0.5">
      <c r="A38">
        <f t="shared" si="12"/>
        <v>14.5</v>
      </c>
      <c r="B38">
        <f t="shared" si="0"/>
        <v>8.5</v>
      </c>
      <c r="C38">
        <f t="shared" si="1"/>
        <v>0.21589999999999998</v>
      </c>
      <c r="D38">
        <v>19.2</v>
      </c>
      <c r="F38">
        <f t="shared" si="13"/>
        <v>14.5</v>
      </c>
      <c r="G38">
        <f t="shared" si="2"/>
        <v>8.5</v>
      </c>
      <c r="H38">
        <f t="shared" si="3"/>
        <v>0.21589999999999998</v>
      </c>
      <c r="I38">
        <v>17.8</v>
      </c>
      <c r="K38">
        <f t="shared" si="14"/>
        <v>14.5</v>
      </c>
      <c r="L38">
        <f t="shared" si="4"/>
        <v>8.5</v>
      </c>
      <c r="M38">
        <f t="shared" si="5"/>
        <v>0.21589999999999998</v>
      </c>
      <c r="N38">
        <v>17.2</v>
      </c>
      <c r="Q38">
        <f t="shared" si="15"/>
        <v>29</v>
      </c>
      <c r="R38">
        <f t="shared" si="6"/>
        <v>17</v>
      </c>
      <c r="S38">
        <f t="shared" si="7"/>
        <v>0.43179999999999996</v>
      </c>
      <c r="T38">
        <v>20.8</v>
      </c>
      <c r="V38">
        <f t="shared" si="16"/>
        <v>29</v>
      </c>
      <c r="W38">
        <f t="shared" si="8"/>
        <v>17</v>
      </c>
      <c r="X38">
        <f t="shared" si="9"/>
        <v>0.43179999999999996</v>
      </c>
      <c r="Y38">
        <v>19.2</v>
      </c>
      <c r="AA38">
        <f t="shared" si="17"/>
        <v>29</v>
      </c>
      <c r="AB38">
        <f t="shared" si="10"/>
        <v>17</v>
      </c>
      <c r="AC38">
        <f t="shared" si="11"/>
        <v>0.43179999999999996</v>
      </c>
      <c r="AD38">
        <v>19</v>
      </c>
    </row>
    <row r="39" spans="1:30" x14ac:dyDescent="0.5">
      <c r="A39">
        <f t="shared" si="12"/>
        <v>14.75</v>
      </c>
      <c r="B39">
        <f t="shared" si="0"/>
        <v>8.75</v>
      </c>
      <c r="C39">
        <f t="shared" si="1"/>
        <v>0.22225</v>
      </c>
      <c r="D39">
        <v>19.600000000000001</v>
      </c>
      <c r="F39">
        <f t="shared" si="13"/>
        <v>14.75</v>
      </c>
      <c r="G39">
        <f t="shared" si="2"/>
        <v>8.75</v>
      </c>
      <c r="H39">
        <f t="shared" si="3"/>
        <v>0.22225</v>
      </c>
      <c r="I39">
        <v>18.2</v>
      </c>
      <c r="K39">
        <f t="shared" si="14"/>
        <v>14.75</v>
      </c>
      <c r="L39">
        <f t="shared" si="4"/>
        <v>8.75</v>
      </c>
      <c r="M39">
        <f t="shared" si="5"/>
        <v>0.22225</v>
      </c>
      <c r="N39">
        <v>17.600000000000001</v>
      </c>
      <c r="Q39">
        <f t="shared" si="15"/>
        <v>29.5</v>
      </c>
      <c r="R39">
        <f t="shared" si="6"/>
        <v>17.5</v>
      </c>
      <c r="S39">
        <f t="shared" si="7"/>
        <v>0.44450000000000001</v>
      </c>
      <c r="T39">
        <v>21</v>
      </c>
      <c r="V39">
        <f t="shared" si="16"/>
        <v>29.5</v>
      </c>
      <c r="W39">
        <f t="shared" si="8"/>
        <v>17.5</v>
      </c>
      <c r="X39">
        <f t="shared" si="9"/>
        <v>0.44450000000000001</v>
      </c>
      <c r="Y39">
        <v>19.399999999999999</v>
      </c>
      <c r="AA39">
        <f t="shared" si="17"/>
        <v>29.5</v>
      </c>
      <c r="AB39">
        <f t="shared" si="10"/>
        <v>17.5</v>
      </c>
      <c r="AC39">
        <f t="shared" si="11"/>
        <v>0.44450000000000001</v>
      </c>
      <c r="AD39">
        <v>19.399999999999999</v>
      </c>
    </row>
    <row r="40" spans="1:30" x14ac:dyDescent="0.5">
      <c r="A40">
        <f t="shared" si="12"/>
        <v>15</v>
      </c>
      <c r="B40">
        <f t="shared" si="0"/>
        <v>9</v>
      </c>
      <c r="C40">
        <f t="shared" si="1"/>
        <v>0.2286</v>
      </c>
      <c r="D40">
        <v>19.8</v>
      </c>
      <c r="F40">
        <f t="shared" si="13"/>
        <v>15</v>
      </c>
      <c r="G40">
        <f t="shared" si="2"/>
        <v>9</v>
      </c>
      <c r="H40">
        <f t="shared" si="3"/>
        <v>0.2286</v>
      </c>
      <c r="I40">
        <v>18.600000000000001</v>
      </c>
      <c r="K40">
        <f t="shared" si="14"/>
        <v>15</v>
      </c>
      <c r="L40">
        <f t="shared" si="4"/>
        <v>9</v>
      </c>
      <c r="M40">
        <f t="shared" si="5"/>
        <v>0.2286</v>
      </c>
      <c r="N40">
        <v>18</v>
      </c>
      <c r="Q40">
        <f t="shared" si="15"/>
        <v>30</v>
      </c>
      <c r="R40">
        <f t="shared" si="6"/>
        <v>18</v>
      </c>
      <c r="S40">
        <f t="shared" si="7"/>
        <v>0.4572</v>
      </c>
      <c r="T40">
        <v>21.4</v>
      </c>
      <c r="V40">
        <f t="shared" si="16"/>
        <v>30</v>
      </c>
      <c r="W40">
        <f t="shared" si="8"/>
        <v>18</v>
      </c>
      <c r="X40">
        <f t="shared" si="9"/>
        <v>0.4572</v>
      </c>
      <c r="Y40">
        <v>20.2</v>
      </c>
      <c r="AA40">
        <f t="shared" si="17"/>
        <v>30</v>
      </c>
      <c r="AB40">
        <f t="shared" si="10"/>
        <v>18</v>
      </c>
      <c r="AC40">
        <f t="shared" si="11"/>
        <v>0.4572</v>
      </c>
      <c r="AD40">
        <v>19.600000000000001</v>
      </c>
    </row>
    <row r="41" spans="1:30" x14ac:dyDescent="0.5">
      <c r="A41">
        <f t="shared" si="12"/>
        <v>15.25</v>
      </c>
      <c r="B41">
        <f t="shared" si="0"/>
        <v>9.25</v>
      </c>
      <c r="C41">
        <f t="shared" si="1"/>
        <v>0.23494999999999999</v>
      </c>
      <c r="D41">
        <v>20.2</v>
      </c>
      <c r="F41">
        <f t="shared" si="13"/>
        <v>15.25</v>
      </c>
      <c r="G41">
        <f t="shared" si="2"/>
        <v>9.25</v>
      </c>
      <c r="H41">
        <f t="shared" si="3"/>
        <v>0.23494999999999999</v>
      </c>
      <c r="I41">
        <v>19</v>
      </c>
      <c r="K41">
        <f t="shared" si="14"/>
        <v>15.25</v>
      </c>
      <c r="L41">
        <f t="shared" si="4"/>
        <v>9.25</v>
      </c>
      <c r="M41">
        <f t="shared" si="5"/>
        <v>0.23494999999999999</v>
      </c>
      <c r="N41">
        <v>18.2</v>
      </c>
      <c r="Q41">
        <f t="shared" si="15"/>
        <v>30.5</v>
      </c>
      <c r="R41">
        <f t="shared" si="6"/>
        <v>18.5</v>
      </c>
      <c r="S41">
        <f t="shared" si="7"/>
        <v>0.46989999999999998</v>
      </c>
      <c r="T41">
        <v>21.8</v>
      </c>
      <c r="V41">
        <f t="shared" si="16"/>
        <v>30.5</v>
      </c>
      <c r="W41">
        <f t="shared" si="8"/>
        <v>18.5</v>
      </c>
      <c r="X41">
        <f t="shared" si="9"/>
        <v>0.46989999999999998</v>
      </c>
      <c r="Y41">
        <v>20.399999999999999</v>
      </c>
      <c r="AA41">
        <f t="shared" si="17"/>
        <v>30.5</v>
      </c>
      <c r="AB41">
        <f t="shared" si="10"/>
        <v>18.5</v>
      </c>
      <c r="AC41">
        <f t="shared" si="11"/>
        <v>0.46989999999999998</v>
      </c>
      <c r="AD41">
        <v>20.2</v>
      </c>
    </row>
    <row r="42" spans="1:30" x14ac:dyDescent="0.5">
      <c r="A42">
        <f t="shared" si="12"/>
        <v>15.5</v>
      </c>
      <c r="B42">
        <f t="shared" si="0"/>
        <v>9.5</v>
      </c>
      <c r="C42">
        <f t="shared" si="1"/>
        <v>0.24129999999999999</v>
      </c>
      <c r="D42">
        <v>20.6</v>
      </c>
      <c r="F42">
        <f t="shared" si="13"/>
        <v>15.5</v>
      </c>
      <c r="G42">
        <f t="shared" si="2"/>
        <v>9.5</v>
      </c>
      <c r="H42">
        <f t="shared" si="3"/>
        <v>0.24129999999999999</v>
      </c>
      <c r="I42">
        <v>19.399999999999999</v>
      </c>
      <c r="K42">
        <f t="shared" si="14"/>
        <v>15.5</v>
      </c>
      <c r="L42">
        <f t="shared" si="4"/>
        <v>9.5</v>
      </c>
      <c r="M42">
        <f t="shared" si="5"/>
        <v>0.24129999999999999</v>
      </c>
      <c r="N42">
        <v>18.600000000000001</v>
      </c>
      <c r="Q42">
        <f t="shared" si="15"/>
        <v>31</v>
      </c>
      <c r="R42">
        <f t="shared" si="6"/>
        <v>19</v>
      </c>
      <c r="S42">
        <f t="shared" si="7"/>
        <v>0.48259999999999997</v>
      </c>
      <c r="T42">
        <v>22.2</v>
      </c>
      <c r="V42">
        <f t="shared" si="16"/>
        <v>31</v>
      </c>
      <c r="W42">
        <f t="shared" si="8"/>
        <v>19</v>
      </c>
      <c r="X42">
        <f t="shared" si="9"/>
        <v>0.48259999999999997</v>
      </c>
      <c r="Y42">
        <v>20.6</v>
      </c>
      <c r="AA42">
        <f t="shared" si="17"/>
        <v>31</v>
      </c>
      <c r="AB42">
        <f t="shared" si="10"/>
        <v>19</v>
      </c>
      <c r="AC42">
        <f t="shared" si="11"/>
        <v>0.48259999999999997</v>
      </c>
      <c r="AD42">
        <v>20.8</v>
      </c>
    </row>
    <row r="43" spans="1:30" x14ac:dyDescent="0.5">
      <c r="A43">
        <f t="shared" si="12"/>
        <v>15.75</v>
      </c>
      <c r="B43">
        <f t="shared" si="0"/>
        <v>9.75</v>
      </c>
      <c r="C43">
        <f t="shared" si="1"/>
        <v>0.24764999999999998</v>
      </c>
      <c r="D43">
        <v>20.8</v>
      </c>
      <c r="F43">
        <f t="shared" si="13"/>
        <v>15.75</v>
      </c>
      <c r="G43">
        <f t="shared" si="2"/>
        <v>9.75</v>
      </c>
      <c r="H43">
        <f t="shared" si="3"/>
        <v>0.24764999999999998</v>
      </c>
      <c r="I43">
        <v>19.8</v>
      </c>
      <c r="K43">
        <f t="shared" si="14"/>
        <v>15.75</v>
      </c>
      <c r="L43">
        <f t="shared" si="4"/>
        <v>9.75</v>
      </c>
      <c r="M43">
        <f t="shared" si="5"/>
        <v>0.24764999999999998</v>
      </c>
      <c r="N43">
        <v>19</v>
      </c>
      <c r="Q43">
        <f t="shared" si="15"/>
        <v>31.5</v>
      </c>
      <c r="R43">
        <f t="shared" si="6"/>
        <v>19.5</v>
      </c>
      <c r="S43">
        <f t="shared" si="7"/>
        <v>0.49529999999999996</v>
      </c>
      <c r="T43">
        <v>22.4</v>
      </c>
      <c r="V43">
        <f t="shared" si="16"/>
        <v>31.5</v>
      </c>
      <c r="W43">
        <f t="shared" si="8"/>
        <v>19.5</v>
      </c>
      <c r="X43">
        <f t="shared" si="9"/>
        <v>0.49529999999999996</v>
      </c>
      <c r="Y43">
        <v>21</v>
      </c>
      <c r="AA43">
        <f t="shared" si="17"/>
        <v>31.5</v>
      </c>
      <c r="AB43">
        <f t="shared" si="10"/>
        <v>19.5</v>
      </c>
      <c r="AC43">
        <f t="shared" si="11"/>
        <v>0.49529999999999996</v>
      </c>
      <c r="AD43">
        <v>21.2</v>
      </c>
    </row>
    <row r="44" spans="1:30" x14ac:dyDescent="0.5">
      <c r="A44">
        <f t="shared" si="12"/>
        <v>16</v>
      </c>
      <c r="B44">
        <f t="shared" si="0"/>
        <v>10</v>
      </c>
      <c r="C44">
        <f t="shared" si="1"/>
        <v>0.254</v>
      </c>
      <c r="D44">
        <v>21</v>
      </c>
      <c r="F44">
        <f t="shared" si="13"/>
        <v>16</v>
      </c>
      <c r="G44">
        <f t="shared" si="2"/>
        <v>10</v>
      </c>
      <c r="H44">
        <f t="shared" si="3"/>
        <v>0.254</v>
      </c>
      <c r="I44">
        <v>20</v>
      </c>
      <c r="K44">
        <f t="shared" si="14"/>
        <v>16</v>
      </c>
      <c r="L44">
        <f t="shared" si="4"/>
        <v>10</v>
      </c>
      <c r="M44">
        <f t="shared" si="5"/>
        <v>0.254</v>
      </c>
      <c r="N44">
        <v>19.399999999999999</v>
      </c>
      <c r="Q44">
        <f t="shared" si="15"/>
        <v>32</v>
      </c>
      <c r="R44">
        <f t="shared" si="6"/>
        <v>20</v>
      </c>
      <c r="S44">
        <f t="shared" si="7"/>
        <v>0.50800000000000001</v>
      </c>
      <c r="T44">
        <v>22.8</v>
      </c>
      <c r="V44">
        <f t="shared" si="16"/>
        <v>32</v>
      </c>
      <c r="W44">
        <f t="shared" si="8"/>
        <v>20</v>
      </c>
      <c r="X44">
        <f t="shared" si="9"/>
        <v>0.50800000000000001</v>
      </c>
      <c r="Y44">
        <v>21.4</v>
      </c>
      <c r="AA44">
        <f t="shared" si="17"/>
        <v>32</v>
      </c>
      <c r="AB44">
        <f t="shared" si="10"/>
        <v>20</v>
      </c>
      <c r="AC44">
        <f t="shared" si="11"/>
        <v>0.50800000000000001</v>
      </c>
      <c r="AD44">
        <v>21.4</v>
      </c>
    </row>
    <row r="45" spans="1:30" x14ac:dyDescent="0.5">
      <c r="A45">
        <f t="shared" si="12"/>
        <v>16.25</v>
      </c>
      <c r="B45">
        <f t="shared" si="0"/>
        <v>10.25</v>
      </c>
      <c r="C45">
        <f t="shared" si="1"/>
        <v>0.26034999999999997</v>
      </c>
      <c r="D45">
        <v>21.4</v>
      </c>
      <c r="F45">
        <f t="shared" si="13"/>
        <v>16.25</v>
      </c>
      <c r="G45">
        <f t="shared" si="2"/>
        <v>10.25</v>
      </c>
      <c r="H45">
        <f t="shared" si="3"/>
        <v>0.26034999999999997</v>
      </c>
      <c r="I45">
        <v>20.399999999999999</v>
      </c>
      <c r="K45">
        <f t="shared" si="14"/>
        <v>16.25</v>
      </c>
      <c r="L45">
        <f t="shared" si="4"/>
        <v>10.25</v>
      </c>
      <c r="M45">
        <f t="shared" si="5"/>
        <v>0.26034999999999997</v>
      </c>
      <c r="N45">
        <v>19.600000000000001</v>
      </c>
      <c r="Q45">
        <f t="shared" si="15"/>
        <v>32.5</v>
      </c>
      <c r="R45">
        <f t="shared" si="6"/>
        <v>20.5</v>
      </c>
      <c r="S45">
        <f t="shared" si="7"/>
        <v>0.52069999999999994</v>
      </c>
      <c r="T45">
        <v>23.2</v>
      </c>
      <c r="V45">
        <f t="shared" si="16"/>
        <v>32.5</v>
      </c>
      <c r="W45">
        <f t="shared" si="8"/>
        <v>20.5</v>
      </c>
      <c r="X45">
        <f t="shared" si="9"/>
        <v>0.52069999999999994</v>
      </c>
      <c r="Y45">
        <v>21.8</v>
      </c>
      <c r="AA45">
        <f t="shared" si="17"/>
        <v>32.5</v>
      </c>
      <c r="AB45">
        <f t="shared" si="10"/>
        <v>20.5</v>
      </c>
      <c r="AC45">
        <f t="shared" si="11"/>
        <v>0.52069999999999994</v>
      </c>
      <c r="AD45">
        <v>21.6</v>
      </c>
    </row>
    <row r="46" spans="1:30" x14ac:dyDescent="0.5">
      <c r="A46">
        <f>A45+0.25</f>
        <v>16.5</v>
      </c>
      <c r="B46">
        <f t="shared" si="0"/>
        <v>10.5</v>
      </c>
      <c r="C46">
        <f t="shared" si="1"/>
        <v>0.26669999999999999</v>
      </c>
      <c r="D46">
        <v>21.8</v>
      </c>
      <c r="F46">
        <f>F45+0.25</f>
        <v>16.5</v>
      </c>
      <c r="G46">
        <f t="shared" si="2"/>
        <v>10.5</v>
      </c>
      <c r="H46">
        <f t="shared" si="3"/>
        <v>0.26669999999999999</v>
      </c>
      <c r="I46">
        <v>21</v>
      </c>
      <c r="K46">
        <f>K45+0.25</f>
        <v>16.5</v>
      </c>
      <c r="L46">
        <f t="shared" si="4"/>
        <v>10.5</v>
      </c>
      <c r="M46">
        <f t="shared" si="5"/>
        <v>0.26669999999999999</v>
      </c>
      <c r="N46">
        <v>20</v>
      </c>
      <c r="Q46">
        <f t="shared" si="15"/>
        <v>33</v>
      </c>
      <c r="R46">
        <f t="shared" si="6"/>
        <v>21</v>
      </c>
      <c r="S46">
        <f t="shared" si="7"/>
        <v>0.53339999999999999</v>
      </c>
      <c r="T46">
        <v>23.4</v>
      </c>
      <c r="V46">
        <f t="shared" si="16"/>
        <v>33</v>
      </c>
      <c r="W46">
        <f t="shared" si="8"/>
        <v>21</v>
      </c>
      <c r="X46">
        <f t="shared" si="9"/>
        <v>0.53339999999999999</v>
      </c>
      <c r="Y46">
        <v>22.2</v>
      </c>
      <c r="AA46">
        <f t="shared" si="17"/>
        <v>33</v>
      </c>
      <c r="AB46">
        <f t="shared" si="10"/>
        <v>21</v>
      </c>
      <c r="AC46">
        <f t="shared" si="11"/>
        <v>0.53339999999999999</v>
      </c>
      <c r="AD46">
        <v>22</v>
      </c>
    </row>
    <row r="47" spans="1:30" x14ac:dyDescent="0.5">
      <c r="A47">
        <f t="shared" ref="A47:A51" si="18">A46+0.25</f>
        <v>16.75</v>
      </c>
      <c r="B47">
        <f t="shared" si="0"/>
        <v>10.75</v>
      </c>
      <c r="C47">
        <f t="shared" si="1"/>
        <v>0.27305000000000001</v>
      </c>
      <c r="D47">
        <v>22</v>
      </c>
      <c r="F47">
        <f t="shared" ref="F47:F51" si="19">F46+0.25</f>
        <v>16.75</v>
      </c>
      <c r="G47">
        <f t="shared" si="2"/>
        <v>10.75</v>
      </c>
      <c r="H47">
        <f t="shared" si="3"/>
        <v>0.27305000000000001</v>
      </c>
      <c r="I47">
        <v>21.2</v>
      </c>
      <c r="K47">
        <f t="shared" ref="K47:K51" si="20">K46+0.25</f>
        <v>16.75</v>
      </c>
      <c r="L47">
        <f t="shared" si="4"/>
        <v>10.75</v>
      </c>
      <c r="M47">
        <f t="shared" si="5"/>
        <v>0.27305000000000001</v>
      </c>
      <c r="N47">
        <v>20.2</v>
      </c>
      <c r="Q47">
        <f t="shared" si="15"/>
        <v>33.5</v>
      </c>
      <c r="R47">
        <f t="shared" si="6"/>
        <v>21.5</v>
      </c>
      <c r="S47">
        <f t="shared" si="7"/>
        <v>0.54610000000000003</v>
      </c>
      <c r="T47">
        <v>23.8</v>
      </c>
      <c r="V47">
        <f t="shared" si="16"/>
        <v>33.5</v>
      </c>
      <c r="W47">
        <f t="shared" si="8"/>
        <v>21.5</v>
      </c>
      <c r="X47">
        <f t="shared" si="9"/>
        <v>0.54610000000000003</v>
      </c>
      <c r="Y47">
        <v>22.6</v>
      </c>
      <c r="AA47">
        <f t="shared" si="17"/>
        <v>33.5</v>
      </c>
      <c r="AB47">
        <f t="shared" si="10"/>
        <v>21.5</v>
      </c>
      <c r="AC47">
        <f t="shared" si="11"/>
        <v>0.54610000000000003</v>
      </c>
      <c r="AD47">
        <v>22</v>
      </c>
    </row>
    <row r="48" spans="1:30" x14ac:dyDescent="0.5">
      <c r="A48">
        <f t="shared" si="18"/>
        <v>17</v>
      </c>
      <c r="B48">
        <f t="shared" si="0"/>
        <v>11</v>
      </c>
      <c r="C48">
        <f t="shared" si="1"/>
        <v>0.27939999999999998</v>
      </c>
      <c r="D48">
        <v>22.4</v>
      </c>
      <c r="F48">
        <f t="shared" si="19"/>
        <v>17</v>
      </c>
      <c r="G48">
        <f t="shared" si="2"/>
        <v>11</v>
      </c>
      <c r="H48">
        <f t="shared" si="3"/>
        <v>0.27939999999999998</v>
      </c>
      <c r="I48">
        <v>21.6</v>
      </c>
      <c r="K48">
        <f t="shared" si="20"/>
        <v>17</v>
      </c>
      <c r="L48">
        <f t="shared" si="4"/>
        <v>11</v>
      </c>
      <c r="M48">
        <f t="shared" si="5"/>
        <v>0.27939999999999998</v>
      </c>
      <c r="N48">
        <v>20.8</v>
      </c>
      <c r="Q48">
        <f t="shared" si="15"/>
        <v>34</v>
      </c>
      <c r="R48">
        <f t="shared" si="6"/>
        <v>22</v>
      </c>
      <c r="S48">
        <f t="shared" si="7"/>
        <v>0.55879999999999996</v>
      </c>
      <c r="T48">
        <v>24.2</v>
      </c>
      <c r="V48">
        <f t="shared" si="16"/>
        <v>34</v>
      </c>
      <c r="W48">
        <f t="shared" si="8"/>
        <v>22</v>
      </c>
      <c r="X48">
        <f t="shared" si="9"/>
        <v>0.55879999999999996</v>
      </c>
      <c r="Y48">
        <v>23</v>
      </c>
      <c r="AA48">
        <f t="shared" si="17"/>
        <v>34</v>
      </c>
      <c r="AB48">
        <f t="shared" si="10"/>
        <v>22</v>
      </c>
      <c r="AC48">
        <f t="shared" si="11"/>
        <v>0.55879999999999996</v>
      </c>
      <c r="AD48">
        <v>23</v>
      </c>
    </row>
    <row r="49" spans="1:30" x14ac:dyDescent="0.5">
      <c r="A49">
        <f t="shared" si="18"/>
        <v>17.25</v>
      </c>
      <c r="B49">
        <f t="shared" si="0"/>
        <v>11.25</v>
      </c>
      <c r="C49">
        <f t="shared" si="1"/>
        <v>0.28575</v>
      </c>
      <c r="D49">
        <v>22.8</v>
      </c>
      <c r="F49">
        <f t="shared" si="19"/>
        <v>17.25</v>
      </c>
      <c r="G49">
        <f t="shared" si="2"/>
        <v>11.25</v>
      </c>
      <c r="H49">
        <f t="shared" si="3"/>
        <v>0.28575</v>
      </c>
      <c r="I49">
        <v>22</v>
      </c>
      <c r="K49">
        <f t="shared" si="20"/>
        <v>17.25</v>
      </c>
      <c r="L49">
        <f t="shared" si="4"/>
        <v>11.25</v>
      </c>
      <c r="M49">
        <f t="shared" si="5"/>
        <v>0.28575</v>
      </c>
      <c r="N49">
        <v>21.2</v>
      </c>
      <c r="Q49">
        <f t="shared" si="15"/>
        <v>34.5</v>
      </c>
      <c r="R49">
        <f t="shared" si="6"/>
        <v>22.5</v>
      </c>
      <c r="S49">
        <f t="shared" si="7"/>
        <v>0.57150000000000001</v>
      </c>
      <c r="T49">
        <v>24.6</v>
      </c>
      <c r="V49">
        <f t="shared" si="16"/>
        <v>34.5</v>
      </c>
      <c r="W49">
        <f t="shared" si="8"/>
        <v>22.5</v>
      </c>
      <c r="X49">
        <f t="shared" si="9"/>
        <v>0.57150000000000001</v>
      </c>
      <c r="Y49">
        <v>23.4</v>
      </c>
      <c r="AA49">
        <f t="shared" si="17"/>
        <v>34.5</v>
      </c>
      <c r="AB49">
        <f t="shared" si="10"/>
        <v>22.5</v>
      </c>
      <c r="AC49">
        <f t="shared" si="11"/>
        <v>0.57150000000000001</v>
      </c>
      <c r="AD49">
        <v>23.2</v>
      </c>
    </row>
    <row r="50" spans="1:30" x14ac:dyDescent="0.5">
      <c r="A50">
        <f t="shared" si="18"/>
        <v>17.5</v>
      </c>
      <c r="B50">
        <f t="shared" si="0"/>
        <v>11.5</v>
      </c>
      <c r="C50">
        <f t="shared" si="1"/>
        <v>0.29209999999999997</v>
      </c>
      <c r="D50">
        <v>23</v>
      </c>
      <c r="F50">
        <f t="shared" si="19"/>
        <v>17.5</v>
      </c>
      <c r="G50">
        <f t="shared" si="2"/>
        <v>11.5</v>
      </c>
      <c r="H50">
        <f t="shared" si="3"/>
        <v>0.29209999999999997</v>
      </c>
      <c r="I50">
        <v>22.4</v>
      </c>
      <c r="K50">
        <f t="shared" si="20"/>
        <v>17.5</v>
      </c>
      <c r="L50">
        <f t="shared" si="4"/>
        <v>11.5</v>
      </c>
      <c r="M50">
        <f t="shared" si="5"/>
        <v>0.29209999999999997</v>
      </c>
      <c r="N50">
        <v>21.6</v>
      </c>
      <c r="Q50">
        <f t="shared" si="15"/>
        <v>35</v>
      </c>
      <c r="R50">
        <f t="shared" si="6"/>
        <v>23</v>
      </c>
      <c r="S50">
        <f t="shared" si="7"/>
        <v>0.58419999999999994</v>
      </c>
      <c r="T50">
        <v>24.8</v>
      </c>
      <c r="V50">
        <f t="shared" si="16"/>
        <v>35</v>
      </c>
      <c r="W50">
        <f t="shared" si="8"/>
        <v>23</v>
      </c>
      <c r="X50">
        <f t="shared" si="9"/>
        <v>0.58419999999999994</v>
      </c>
      <c r="Y50">
        <v>23.8</v>
      </c>
      <c r="AA50">
        <f t="shared" si="17"/>
        <v>35</v>
      </c>
      <c r="AB50">
        <f t="shared" si="10"/>
        <v>23</v>
      </c>
      <c r="AC50">
        <f t="shared" si="11"/>
        <v>0.58419999999999994</v>
      </c>
      <c r="AD50">
        <v>23.2</v>
      </c>
    </row>
    <row r="51" spans="1:30" x14ac:dyDescent="0.5">
      <c r="A51">
        <f t="shared" si="18"/>
        <v>17.75</v>
      </c>
      <c r="B51">
        <f t="shared" si="0"/>
        <v>11.75</v>
      </c>
      <c r="C51">
        <f t="shared" si="1"/>
        <v>0.29844999999999999</v>
      </c>
      <c r="D51">
        <v>23.4</v>
      </c>
      <c r="F51">
        <f t="shared" si="19"/>
        <v>17.75</v>
      </c>
      <c r="G51">
        <f t="shared" si="2"/>
        <v>11.75</v>
      </c>
      <c r="H51">
        <f t="shared" si="3"/>
        <v>0.29844999999999999</v>
      </c>
      <c r="I51">
        <v>23</v>
      </c>
      <c r="K51">
        <f t="shared" si="20"/>
        <v>17.75</v>
      </c>
      <c r="L51">
        <f t="shared" si="4"/>
        <v>11.75</v>
      </c>
      <c r="M51">
        <f t="shared" si="5"/>
        <v>0.29844999999999999</v>
      </c>
      <c r="N51">
        <v>22</v>
      </c>
      <c r="Q51">
        <f t="shared" si="15"/>
        <v>35.5</v>
      </c>
      <c r="R51">
        <f t="shared" si="6"/>
        <v>23.5</v>
      </c>
      <c r="S51">
        <f t="shared" si="7"/>
        <v>0.59689999999999999</v>
      </c>
      <c r="T51">
        <v>25.2</v>
      </c>
      <c r="V51">
        <f t="shared" si="16"/>
        <v>35.5</v>
      </c>
      <c r="W51">
        <f t="shared" si="8"/>
        <v>23.5</v>
      </c>
      <c r="X51">
        <f t="shared" si="9"/>
        <v>0.59689999999999999</v>
      </c>
      <c r="Y51">
        <v>24.2</v>
      </c>
      <c r="AA51">
        <f t="shared" si="17"/>
        <v>35.5</v>
      </c>
      <c r="AB51">
        <f t="shared" si="10"/>
        <v>23.5</v>
      </c>
      <c r="AC51">
        <f t="shared" si="11"/>
        <v>0.59689999999999999</v>
      </c>
      <c r="AD51">
        <v>23.4</v>
      </c>
    </row>
    <row r="52" spans="1:30" x14ac:dyDescent="0.5">
      <c r="A52">
        <f>A51+0.25</f>
        <v>18</v>
      </c>
      <c r="B52">
        <f t="shared" si="0"/>
        <v>12</v>
      </c>
      <c r="C52">
        <f t="shared" si="1"/>
        <v>0.30479999999999996</v>
      </c>
      <c r="D52">
        <v>23.6</v>
      </c>
      <c r="F52">
        <f>F51+0.25</f>
        <v>18</v>
      </c>
      <c r="G52">
        <f t="shared" si="2"/>
        <v>12</v>
      </c>
      <c r="H52">
        <f t="shared" si="3"/>
        <v>0.30479999999999996</v>
      </c>
      <c r="I52">
        <v>23.4</v>
      </c>
      <c r="K52">
        <f>K51+0.25</f>
        <v>18</v>
      </c>
      <c r="L52">
        <f t="shared" si="4"/>
        <v>12</v>
      </c>
      <c r="M52">
        <f t="shared" si="5"/>
        <v>0.30479999999999996</v>
      </c>
      <c r="N52">
        <v>22.6</v>
      </c>
      <c r="Q52">
        <f t="shared" si="15"/>
        <v>36</v>
      </c>
      <c r="R52">
        <f t="shared" si="6"/>
        <v>24</v>
      </c>
      <c r="S52">
        <f t="shared" si="7"/>
        <v>0.60959999999999992</v>
      </c>
      <c r="T52">
        <v>25.4</v>
      </c>
      <c r="V52">
        <f t="shared" si="16"/>
        <v>36</v>
      </c>
      <c r="W52">
        <f t="shared" si="8"/>
        <v>24</v>
      </c>
      <c r="X52">
        <f t="shared" si="9"/>
        <v>0.60959999999999992</v>
      </c>
      <c r="Y52">
        <v>24.4</v>
      </c>
      <c r="AA52">
        <f t="shared" si="17"/>
        <v>36</v>
      </c>
      <c r="AB52">
        <f t="shared" si="10"/>
        <v>24</v>
      </c>
      <c r="AC52">
        <f t="shared" si="11"/>
        <v>0.60959999999999992</v>
      </c>
      <c r="AD52">
        <v>24</v>
      </c>
    </row>
  </sheetData>
  <mergeCells count="2">
    <mergeCell ref="A1:B1"/>
    <mergeCell ref="Q1:R1"/>
  </mergeCells>
  <pageMargins left="0.7" right="0.7" top="0.75" bottom="0.75" header="0.3" footer="0.3"/>
  <pageSetup orientation="portrait" horizontalDpi="0" verticalDpi="0"/>
  <drawing r:id="rId1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Orange Bungees</vt:lpstr>
      <vt:lpstr>Red Bungees</vt:lpstr>
      <vt:lpstr>Green Bungees</vt:lpstr>
      <vt:lpstr>Black Bungees</vt:lpstr>
      <vt:lpstr>Blue Bungees</vt:lpstr>
      <vt:lpstr>Tan Bungees</vt:lpstr>
      <vt:lpstr>Yellow Bungees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Okonma, Charles Michael Nduka</dc:creator>
  <cp:keywords/>
  <dc:description/>
  <cp:lastModifiedBy>James Patton</cp:lastModifiedBy>
  <cp:revision/>
  <dcterms:created xsi:type="dcterms:W3CDTF">2024-12-01T01:47:40Z</dcterms:created>
  <dcterms:modified xsi:type="dcterms:W3CDTF">2025-12-30T23:15:27Z</dcterms:modified>
  <cp:category/>
  <cp:contentStatus/>
</cp:coreProperties>
</file>